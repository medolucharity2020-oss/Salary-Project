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E025518-A5AB-4508-AD3D-31D3ADE9F986}" xr6:coauthVersionLast="47" xr6:coauthVersionMax="47" xr10:uidLastSave="{00000000-0000-0000-0000-000000000000}"/>
  <bookViews>
    <workbookView xWindow="-110" yWindow="-110" windowWidth="19420" windowHeight="10300" activeTab="1" xr2:uid="{E4316D1F-769A-4E39-91AA-1BAF2588D7F6}"/>
  </bookViews>
  <sheets>
    <sheet name="Salary_niit" sheetId="1" r:id="rId1"/>
    <sheet name="DASHBOARD" sheetId="2" r:id="rId2"/>
  </sheets>
  <definedNames>
    <definedName name="_xlnm._FilterDatabase" localSheetId="1" hidden="1">DASHBOARD!$D$38:$E$47</definedName>
    <definedName name="_xlnm._FilterDatabase" localSheetId="0" hidden="1">Salary_niit!$A$1:$U$24</definedName>
  </definedNames>
  <calcPr calcId="191029"/>
</workbook>
</file>

<file path=xl/calcChain.xml><?xml version="1.0" encoding="utf-8"?>
<calcChain xmlns="http://schemas.openxmlformats.org/spreadsheetml/2006/main">
  <c r="E42" i="2" l="1"/>
  <c r="E43" i="2"/>
  <c r="E44" i="2"/>
  <c r="E45" i="2"/>
  <c r="E46" i="2"/>
  <c r="E47" i="2"/>
  <c r="E48" i="2"/>
  <c r="E41" i="2"/>
  <c r="E40" i="2"/>
  <c r="E29" i="2"/>
  <c r="E30" i="2"/>
  <c r="E31" i="2"/>
  <c r="E28" i="2"/>
  <c r="E27" i="2"/>
  <c r="E24" i="2"/>
  <c r="D24" i="2"/>
  <c r="D22" i="2"/>
  <c r="D20" i="2"/>
  <c r="D18" i="2"/>
  <c r="D16" i="2"/>
  <c r="D14" i="2"/>
  <c r="D12" i="2"/>
  <c r="D10" i="2"/>
  <c r="D8" i="2"/>
  <c r="D6" i="2"/>
  <c r="A15" i="2" l="1"/>
</calcChain>
</file>

<file path=xl/sharedStrings.xml><?xml version="1.0" encoding="utf-8"?>
<sst xmlns="http://schemas.openxmlformats.org/spreadsheetml/2006/main" count="1111" uniqueCount="384">
  <si>
    <t>S/N</t>
  </si>
  <si>
    <t>EMPLOYEE NAMES</t>
  </si>
  <si>
    <t>EMPLOY ID</t>
  </si>
  <si>
    <t>STATE</t>
  </si>
  <si>
    <t>SEX</t>
  </si>
  <si>
    <t>DEPT</t>
  </si>
  <si>
    <t>STATUS</t>
  </si>
  <si>
    <t>GRADE</t>
  </si>
  <si>
    <t>HIRED DATE</t>
  </si>
  <si>
    <t>BASIC SALARY</t>
  </si>
  <si>
    <t>WARD ALL</t>
  </si>
  <si>
    <t>MED/ALL</t>
  </si>
  <si>
    <t>T/ALL</t>
  </si>
  <si>
    <t>GROSS BENEFITS</t>
  </si>
  <si>
    <t>ANNUAL SALARY</t>
  </si>
  <si>
    <t>TAX</t>
  </si>
  <si>
    <t>ANNUAL-80%LOAN</t>
  </si>
  <si>
    <t>MONTHLY RE-PAY-6.6%</t>
  </si>
  <si>
    <t>GROSS LIABILITIES</t>
  </si>
  <si>
    <t>TAX + MONTHLY REPAY-6.6%</t>
  </si>
  <si>
    <t>NET SALARY</t>
  </si>
  <si>
    <t>VERO</t>
  </si>
  <si>
    <t>00-806</t>
  </si>
  <si>
    <t>ABIA</t>
  </si>
  <si>
    <t>M</t>
  </si>
  <si>
    <t>MARKETING</t>
  </si>
  <si>
    <t>SINGLE</t>
  </si>
  <si>
    <t>MANAGER</t>
  </si>
  <si>
    <t>EMEKA</t>
  </si>
  <si>
    <t>00-834</t>
  </si>
  <si>
    <t>SECURITY</t>
  </si>
  <si>
    <t>OFFICER</t>
  </si>
  <si>
    <t>OLANIYI</t>
  </si>
  <si>
    <t>00-849</t>
  </si>
  <si>
    <t>CREDIT</t>
  </si>
  <si>
    <t>MARRIED</t>
  </si>
  <si>
    <t>TRAINEE</t>
  </si>
  <si>
    <t>TOBI</t>
  </si>
  <si>
    <t>00-850</t>
  </si>
  <si>
    <t>F</t>
  </si>
  <si>
    <t>ELEAS</t>
  </si>
  <si>
    <t>00-851</t>
  </si>
  <si>
    <t>NICK</t>
  </si>
  <si>
    <t>00-852</t>
  </si>
  <si>
    <t>MAVIN</t>
  </si>
  <si>
    <t>00-853</t>
  </si>
  <si>
    <t>CHINWE</t>
  </si>
  <si>
    <t>00-854</t>
  </si>
  <si>
    <t>RITA</t>
  </si>
  <si>
    <t>00-864</t>
  </si>
  <si>
    <t>OPERATIONS</t>
  </si>
  <si>
    <t>SNR. OFFICER</t>
  </si>
  <si>
    <t>DORCAS</t>
  </si>
  <si>
    <t>00-820</t>
  </si>
  <si>
    <t>ABUJA</t>
  </si>
  <si>
    <t>DICKSON</t>
  </si>
  <si>
    <t>00-869</t>
  </si>
  <si>
    <t>CHIMEZIE</t>
  </si>
  <si>
    <t>00-886</t>
  </si>
  <si>
    <t>LAWRENCE</t>
  </si>
  <si>
    <t>00-895</t>
  </si>
  <si>
    <t>SURVELLANCE</t>
  </si>
  <si>
    <t>HOPE</t>
  </si>
  <si>
    <t>00-906</t>
  </si>
  <si>
    <t>TONY</t>
  </si>
  <si>
    <t>00-861</t>
  </si>
  <si>
    <t>AKWAIBOM</t>
  </si>
  <si>
    <t>PROSPER</t>
  </si>
  <si>
    <t>00-801</t>
  </si>
  <si>
    <t>ANAMBRA</t>
  </si>
  <si>
    <t>PETER</t>
  </si>
  <si>
    <t>00-803</t>
  </si>
  <si>
    <t>CHIKA</t>
  </si>
  <si>
    <t>00-807</t>
  </si>
  <si>
    <t>LEGAL</t>
  </si>
  <si>
    <t>ONYEKA</t>
  </si>
  <si>
    <t>00-810</t>
  </si>
  <si>
    <t>OKONKWO</t>
  </si>
  <si>
    <t>00-817</t>
  </si>
  <si>
    <t>COSMAS</t>
  </si>
  <si>
    <t>00-838</t>
  </si>
  <si>
    <t>AUDIT</t>
  </si>
  <si>
    <t>PATRICK</t>
  </si>
  <si>
    <t>00-875</t>
  </si>
  <si>
    <t>OKEREKE</t>
  </si>
  <si>
    <t>00-890</t>
  </si>
  <si>
    <t>AMAECHI</t>
  </si>
  <si>
    <t>00-899</t>
  </si>
  <si>
    <t>CHINECHE</t>
  </si>
  <si>
    <t>00-901</t>
  </si>
  <si>
    <t>GODSPOWER</t>
  </si>
  <si>
    <t>00-910</t>
  </si>
  <si>
    <t>NZUBE</t>
  </si>
  <si>
    <t>00-920</t>
  </si>
  <si>
    <t>KINGSLEY</t>
  </si>
  <si>
    <t>00-940</t>
  </si>
  <si>
    <t>OGE</t>
  </si>
  <si>
    <t>00-824</t>
  </si>
  <si>
    <t>BAYELSA</t>
  </si>
  <si>
    <t>ADIM</t>
  </si>
  <si>
    <t>00-860</t>
  </si>
  <si>
    <t>UDOH</t>
  </si>
  <si>
    <t>00-888</t>
  </si>
  <si>
    <t>BRUME</t>
  </si>
  <si>
    <t>00-938</t>
  </si>
  <si>
    <t>CARO</t>
  </si>
  <si>
    <t>00-808</t>
  </si>
  <si>
    <t>BENUE</t>
  </si>
  <si>
    <t>VINCENT</t>
  </si>
  <si>
    <t>00-814</t>
  </si>
  <si>
    <t>MIKE</t>
  </si>
  <si>
    <t>00-845</t>
  </si>
  <si>
    <t>OKEKE</t>
  </si>
  <si>
    <t>00-889</t>
  </si>
  <si>
    <t>RACHEAL</t>
  </si>
  <si>
    <t>00-907</t>
  </si>
  <si>
    <t>VICTORIA</t>
  </si>
  <si>
    <t>00-911</t>
  </si>
  <si>
    <t>PHIL</t>
  </si>
  <si>
    <t>00-925</t>
  </si>
  <si>
    <t>SALES SUPERVISOR</t>
  </si>
  <si>
    <t>GODWIN</t>
  </si>
  <si>
    <t>00-936</t>
  </si>
  <si>
    <t>TECHNOLOGY</t>
  </si>
  <si>
    <t>NARROW</t>
  </si>
  <si>
    <t>00-942</t>
  </si>
  <si>
    <t>KENNETH</t>
  </si>
  <si>
    <t>00-859</t>
  </si>
  <si>
    <t>CROSSRIVER</t>
  </si>
  <si>
    <t>PATRICIA</t>
  </si>
  <si>
    <t>00-912</t>
  </si>
  <si>
    <t>ELOHO</t>
  </si>
  <si>
    <t>00-802</t>
  </si>
  <si>
    <t>DELTA</t>
  </si>
  <si>
    <t>PRINCESS</t>
  </si>
  <si>
    <t>00-826</t>
  </si>
  <si>
    <t>CHRIS</t>
  </si>
  <si>
    <t>00-843</t>
  </si>
  <si>
    <t>AUGUSTUS</t>
  </si>
  <si>
    <t>00-870</t>
  </si>
  <si>
    <t>FELIX</t>
  </si>
  <si>
    <t>00-884</t>
  </si>
  <si>
    <t>ARINZE</t>
  </si>
  <si>
    <t>00-891</t>
  </si>
  <si>
    <t>CHIOMA</t>
  </si>
  <si>
    <t>00-898</t>
  </si>
  <si>
    <t>GIFT</t>
  </si>
  <si>
    <t>00-903</t>
  </si>
  <si>
    <t>ROBERT</t>
  </si>
  <si>
    <t>00-913</t>
  </si>
  <si>
    <t>SAINT</t>
  </si>
  <si>
    <t>00-926</t>
  </si>
  <si>
    <t>EBUH</t>
  </si>
  <si>
    <t>00-927</t>
  </si>
  <si>
    <t>EKPUK</t>
  </si>
  <si>
    <t>00-947</t>
  </si>
  <si>
    <t>OKEY</t>
  </si>
  <si>
    <t>00-805</t>
  </si>
  <si>
    <t>EBONYI</t>
  </si>
  <si>
    <t>COMPLIANCE</t>
  </si>
  <si>
    <t>LEVY</t>
  </si>
  <si>
    <t>00-862</t>
  </si>
  <si>
    <t>LORETA</t>
  </si>
  <si>
    <t>00-863</t>
  </si>
  <si>
    <t>BARTHO</t>
  </si>
  <si>
    <t>00-876</t>
  </si>
  <si>
    <t>IZUCHUKWU</t>
  </si>
  <si>
    <t>00-922</t>
  </si>
  <si>
    <t>NWANKWO</t>
  </si>
  <si>
    <t>00-923</t>
  </si>
  <si>
    <t>OGBONNA</t>
  </si>
  <si>
    <t>00-946</t>
  </si>
  <si>
    <t>AMARA</t>
  </si>
  <si>
    <t>00-800</t>
  </si>
  <si>
    <t>EDO</t>
  </si>
  <si>
    <t>EBUBE</t>
  </si>
  <si>
    <t>00-822</t>
  </si>
  <si>
    <t>EZE</t>
  </si>
  <si>
    <t>00-846</t>
  </si>
  <si>
    <t>MAUREEN</t>
  </si>
  <si>
    <t>00-871</t>
  </si>
  <si>
    <t>NNAMDI</t>
  </si>
  <si>
    <t>00-885</t>
  </si>
  <si>
    <t>DIVINE</t>
  </si>
  <si>
    <t>00-904</t>
  </si>
  <si>
    <t>TOM</t>
  </si>
  <si>
    <t>00-941</t>
  </si>
  <si>
    <t>CASMIRE</t>
  </si>
  <si>
    <t>00-809</t>
  </si>
  <si>
    <t>ENUGU</t>
  </si>
  <si>
    <t>UCHE</t>
  </si>
  <si>
    <t>00-818</t>
  </si>
  <si>
    <t>UZO</t>
  </si>
  <si>
    <t>00-825</t>
  </si>
  <si>
    <t>EBUKA</t>
  </si>
  <si>
    <t>00-833</t>
  </si>
  <si>
    <t>RAPH</t>
  </si>
  <si>
    <t>00-844</t>
  </si>
  <si>
    <t>CHINAZA</t>
  </si>
  <si>
    <t>00-856</t>
  </si>
  <si>
    <t>UJU</t>
  </si>
  <si>
    <t>00-873</t>
  </si>
  <si>
    <t>MOSHOOD</t>
  </si>
  <si>
    <t>00-883</t>
  </si>
  <si>
    <t>EMMANUELLA</t>
  </si>
  <si>
    <t>00-908</t>
  </si>
  <si>
    <t>VICTORY</t>
  </si>
  <si>
    <t>00-909</t>
  </si>
  <si>
    <t>DIRISU</t>
  </si>
  <si>
    <t>00-914</t>
  </si>
  <si>
    <t>NZE</t>
  </si>
  <si>
    <t>00-931</t>
  </si>
  <si>
    <t>JUDE</t>
  </si>
  <si>
    <t>00-804</t>
  </si>
  <si>
    <t>IMO</t>
  </si>
  <si>
    <t>NONSO</t>
  </si>
  <si>
    <t>00-832</t>
  </si>
  <si>
    <t>CHIZOBA</t>
  </si>
  <si>
    <t>00-857</t>
  </si>
  <si>
    <t>OGOCHUKWU</t>
  </si>
  <si>
    <t>00-867</t>
  </si>
  <si>
    <t>LATEEF</t>
  </si>
  <si>
    <t>00-882</t>
  </si>
  <si>
    <t>KANU</t>
  </si>
  <si>
    <t>00-897</t>
  </si>
  <si>
    <t>THANKGOD</t>
  </si>
  <si>
    <t>00-902</t>
  </si>
  <si>
    <t>QUEEN</t>
  </si>
  <si>
    <t>00-915</t>
  </si>
  <si>
    <t>PRECIOUS</t>
  </si>
  <si>
    <t>00-921</t>
  </si>
  <si>
    <t>MATHEW</t>
  </si>
  <si>
    <t>00-928</t>
  </si>
  <si>
    <t>DESTINY</t>
  </si>
  <si>
    <t>00-948</t>
  </si>
  <si>
    <t>KAMSY</t>
  </si>
  <si>
    <t>00-892</t>
  </si>
  <si>
    <t>JIGAWA</t>
  </si>
  <si>
    <t>UDE</t>
  </si>
  <si>
    <t>00-813</t>
  </si>
  <si>
    <t>KADUNA</t>
  </si>
  <si>
    <t>MADUKA</t>
  </si>
  <si>
    <t>00-839</t>
  </si>
  <si>
    <t>OKEZIE</t>
  </si>
  <si>
    <t>00-894</t>
  </si>
  <si>
    <t>VERA</t>
  </si>
  <si>
    <t>00-916</t>
  </si>
  <si>
    <t>IJEOMA</t>
  </si>
  <si>
    <t>00-929</t>
  </si>
  <si>
    <t>MARY</t>
  </si>
  <si>
    <t>00-840</t>
  </si>
  <si>
    <t>KANO</t>
  </si>
  <si>
    <t>NDUKA</t>
  </si>
  <si>
    <t>00-874</t>
  </si>
  <si>
    <t>EDWARD</t>
  </si>
  <si>
    <t>00-917</t>
  </si>
  <si>
    <t>BEDE</t>
  </si>
  <si>
    <t>00-816</t>
  </si>
  <si>
    <t>KOGI</t>
  </si>
  <si>
    <t>NNEKA</t>
  </si>
  <si>
    <t>00-872</t>
  </si>
  <si>
    <t>OZO</t>
  </si>
  <si>
    <t>00-877</t>
  </si>
  <si>
    <t>USAIN</t>
  </si>
  <si>
    <t>00-935</t>
  </si>
  <si>
    <t>PEACE</t>
  </si>
  <si>
    <t>00-939</t>
  </si>
  <si>
    <t>KWARA</t>
  </si>
  <si>
    <t>OLU</t>
  </si>
  <si>
    <t>00-819</t>
  </si>
  <si>
    <t>LAGOS</t>
  </si>
  <si>
    <t>DAVID</t>
  </si>
  <si>
    <t>00-835</t>
  </si>
  <si>
    <t>ANTHONIA</t>
  </si>
  <si>
    <t>00-865</t>
  </si>
  <si>
    <t>EMENIKE</t>
  </si>
  <si>
    <t>00-878</t>
  </si>
  <si>
    <t>MALLAM</t>
  </si>
  <si>
    <t>00-900</t>
  </si>
  <si>
    <t>PEARL</t>
  </si>
  <si>
    <t>00-918</t>
  </si>
  <si>
    <t>KATE</t>
  </si>
  <si>
    <t>00-934</t>
  </si>
  <si>
    <t>IFEOMA</t>
  </si>
  <si>
    <t>00-949</t>
  </si>
  <si>
    <t>WIGWE</t>
  </si>
  <si>
    <t>00-944</t>
  </si>
  <si>
    <t>NASARAWA</t>
  </si>
  <si>
    <t>INNOCENT</t>
  </si>
  <si>
    <t>00-821</t>
  </si>
  <si>
    <t>NIGER</t>
  </si>
  <si>
    <t>REMY</t>
  </si>
  <si>
    <t>00-831</t>
  </si>
  <si>
    <t>NONYE</t>
  </si>
  <si>
    <t>00-919</t>
  </si>
  <si>
    <t>ELIJAH</t>
  </si>
  <si>
    <t>00-945</t>
  </si>
  <si>
    <t>FRANCIS</t>
  </si>
  <si>
    <t>00-837</t>
  </si>
  <si>
    <t>ONDO</t>
  </si>
  <si>
    <t>MOBI</t>
  </si>
  <si>
    <t>00-896</t>
  </si>
  <si>
    <t>TOLA</t>
  </si>
  <si>
    <t>00-827</t>
  </si>
  <si>
    <t>OSUN</t>
  </si>
  <si>
    <t>KOLA</t>
  </si>
  <si>
    <t>00-933</t>
  </si>
  <si>
    <t>AFAM</t>
  </si>
  <si>
    <t>00-815</t>
  </si>
  <si>
    <t>OYO</t>
  </si>
  <si>
    <t>NDUM</t>
  </si>
  <si>
    <t>00-879</t>
  </si>
  <si>
    <t>GENTLE</t>
  </si>
  <si>
    <t>00-943</t>
  </si>
  <si>
    <t>MELANIE</t>
  </si>
  <si>
    <t>00-866</t>
  </si>
  <si>
    <t>PLATEAU</t>
  </si>
  <si>
    <t>DERECK</t>
  </si>
  <si>
    <t>00-868</t>
  </si>
  <si>
    <t>NGOZI</t>
  </si>
  <si>
    <t>00-881</t>
  </si>
  <si>
    <t>KANTE</t>
  </si>
  <si>
    <t>00-924</t>
  </si>
  <si>
    <t>ANDREW</t>
  </si>
  <si>
    <t>00-930</t>
  </si>
  <si>
    <t>PIUS</t>
  </si>
  <si>
    <t>00-823</t>
  </si>
  <si>
    <t>RIVERS</t>
  </si>
  <si>
    <t>AFOLABI</t>
  </si>
  <si>
    <t>00-847</t>
  </si>
  <si>
    <t>LADI</t>
  </si>
  <si>
    <t>00-858</t>
  </si>
  <si>
    <t>FELICIA</t>
  </si>
  <si>
    <t>00-887</t>
  </si>
  <si>
    <t>DANIEL</t>
  </si>
  <si>
    <t>00-905</t>
  </si>
  <si>
    <t>OGHENE</t>
  </si>
  <si>
    <t>00-937</t>
  </si>
  <si>
    <t>EXCELLENT</t>
  </si>
  <si>
    <t>00-829</t>
  </si>
  <si>
    <t>SOKOTO</t>
  </si>
  <si>
    <t>AHMED</t>
  </si>
  <si>
    <t>00-842</t>
  </si>
  <si>
    <t>EJIRE</t>
  </si>
  <si>
    <t>00-811</t>
  </si>
  <si>
    <t>TARABA</t>
  </si>
  <si>
    <t>FRANCES</t>
  </si>
  <si>
    <t>00-836</t>
  </si>
  <si>
    <t>MUSA</t>
  </si>
  <si>
    <t>00-848</t>
  </si>
  <si>
    <t>ODIRAH</t>
  </si>
  <si>
    <t>00-880</t>
  </si>
  <si>
    <t>MOSES</t>
  </si>
  <si>
    <t>00-812</t>
  </si>
  <si>
    <t>YOBE</t>
  </si>
  <si>
    <t>OLAOLU</t>
  </si>
  <si>
    <t>00-828</t>
  </si>
  <si>
    <t>ALIYU</t>
  </si>
  <si>
    <t>00-841</t>
  </si>
  <si>
    <t>KOSSY</t>
  </si>
  <si>
    <t>00-893</t>
  </si>
  <si>
    <t>AHMADU</t>
  </si>
  <si>
    <t>00-932</t>
  </si>
  <si>
    <t>EJIOFOR</t>
  </si>
  <si>
    <t>00-830</t>
  </si>
  <si>
    <t>ZAMFARA</t>
  </si>
  <si>
    <t>MARK</t>
  </si>
  <si>
    <t>00-855</t>
  </si>
  <si>
    <t>ANALYSIS QUESTIONS</t>
  </si>
  <si>
    <t>How many employees have their names recorded in the data set</t>
  </si>
  <si>
    <t>What is the total basic salary paid to all employees?</t>
  </si>
  <si>
    <t>What is the total loan repayment made by all employees</t>
  </si>
  <si>
    <t>What is the average tax paid by employees?</t>
  </si>
  <si>
    <t>What is the total basic salary of male employees</t>
  </si>
  <si>
    <t>What is the total tax paid by employees in the Audit department?</t>
  </si>
  <si>
    <t>How many employees have a annual salary greater than ₦1,200,000?</t>
  </si>
  <si>
    <t>What is the total basic salary of employees from Delta State who are senior officers?</t>
  </si>
  <si>
    <t>How many employees work in the marketing department?</t>
  </si>
  <si>
    <t>Summarize net salary based on department where gender is equal to Female and tax is greater than 10,000</t>
  </si>
  <si>
    <t>Identify the grade with the highest average basic salary among female employees from Lagos who have a net salary above ₦1,400,000.</t>
  </si>
  <si>
    <t>Summarize the total net salary by grade and plot a column chart showing the total net salary for each grades.</t>
  </si>
  <si>
    <t>What is the highest basic salary</t>
  </si>
  <si>
    <t>TOTAL NET SALARY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</si>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</sst>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DC3939"/>
      <name val="Calibri"/>
      <family val="2"/>
      <scheme val="minor"/>
    </font>
    <font>
      <b/>
      <sz val="16"/>
      <color rgb="FFDC3939"/>
      <name val="Calibri"/>
      <family val="2"/>
      <scheme val="minor"/>
    </font>
    <font>
      <sz val="1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404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16" fillId="0" borderId="0" xfId="0" applyFont="1"/>
    <xf numFmtId="0" fontId="18" fillId="33" borderId="0" xfId="0" applyFont="1" applyFill="1"/>
    <xf numFmtId="0" fontId="19" fillId="0" borderId="0" xfId="0" applyFont="1"/>
    <xf numFmtId="0" fontId="0" fillId="33" borderId="0" xfId="0" applyFill="1"/>
    <xf numFmtId="0" fontId="20" fillId="33" borderId="0" xfId="0" applyFont="1" applyFill="1"/>
    <xf numFmtId="0" fontId="21" fillId="33" borderId="0" xfId="0" applyFont="1" applyFill="1"/>
    <xf numFmtId="0" fontId="0" fillId="34" borderId="0" xfId="0" applyFill="1"/>
    <xf numFmtId="0" fontId="19" fillId="0" borderId="0" xfId="0" applyFont="1" applyAlignment="1">
      <alignment wrapText="1"/>
    </xf>
    <xf numFmtId="2" fontId="0" fillId="0" borderId="0" xfId="0" applyNumberFormat="1"/>
    <xf numFmtId="0" fontId="16" fillId="0" borderId="0" xfId="0" applyFont="1" applyAlignment="1">
      <alignment wrapText="1"/>
    </xf>
    <xf numFmtId="0" fontId="22" fillId="35" borderId="0" xfId="0" applyFont="1" applyFill="1"/>
    <xf numFmtId="0" fontId="0" fillId="35" borderId="0" xfId="0" applyFill="1"/>
    <xf numFmtId="0" fontId="19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40400"/>
      <color rgb="FF3333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DASHBOARD!$E$26</c:f>
              <c:strCache>
                <c:ptCount val="1"/>
                <c:pt idx="0">
                  <c:v>TOTAL NET SALARY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DASHBOARD!$D$27:$D$31</c:f>
              <c:strCache>
                <c:ptCount val="5"/>
                <c:pt idx="0">
                  <c:v>TRAINEE</c:v>
                </c:pt>
                <c:pt idx="1">
                  <c:v>MANAGER</c:v>
                </c:pt>
                <c:pt idx="2">
                  <c:v>SNR. OFFICER</c:v>
                </c:pt>
                <c:pt idx="3">
                  <c:v>OFFICER</c:v>
                </c:pt>
                <c:pt idx="4">
                  <c:v>SALES SUPERVISOR</c:v>
                </c:pt>
              </c:strCache>
            </c:strRef>
          </c:cat>
          <c:val>
            <c:numRef>
              <c:f>DASHBOARD!$E$27:$E$31</c:f>
              <c:numCache>
                <c:formatCode>General</c:formatCode>
                <c:ptCount val="5"/>
                <c:pt idx="0">
                  <c:v>48519400</c:v>
                </c:pt>
                <c:pt idx="1">
                  <c:v>24437210</c:v>
                </c:pt>
                <c:pt idx="2">
                  <c:v>50294500</c:v>
                </c:pt>
                <c:pt idx="3">
                  <c:v>79051120</c:v>
                </c:pt>
                <c:pt idx="4">
                  <c:v>79051120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2E-4BB7-A846-30CF145AC4A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675508976"/>
        <c:axId val="675530096"/>
        <c:axId val="0"/>
      </c:bar3DChart>
      <c:catAx>
        <c:axId val="67550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530096"/>
        <c:crosses val="autoZero"/>
        <c:auto val="1"/>
        <c:lblAlgn val="ctr"/>
        <c:lblOffset val="100"/>
        <c:noMultiLvlLbl val="0"/>
      </c:catAx>
      <c:valAx>
        <c:axId val="67553009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675508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DASHBOARD!$E$39</c:f>
              <c:strCache>
                <c:ptCount val="1"/>
                <c:pt idx="0">
                  <c:v>NET SALARY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DASHBOARD!$D$40:$D$48</c:f>
              <c:strCache>
                <c:ptCount val="9"/>
                <c:pt idx="0">
                  <c:v>CREDIT</c:v>
                </c:pt>
                <c:pt idx="1">
                  <c:v>MARKETING</c:v>
                </c:pt>
                <c:pt idx="2">
                  <c:v>OPERATIONS</c:v>
                </c:pt>
                <c:pt idx="3">
                  <c:v>SECURITY</c:v>
                </c:pt>
                <c:pt idx="4">
                  <c:v>SURVELLANCE</c:v>
                </c:pt>
                <c:pt idx="5">
                  <c:v>AUDIT</c:v>
                </c:pt>
                <c:pt idx="6">
                  <c:v>LEGAL</c:v>
                </c:pt>
                <c:pt idx="7">
                  <c:v>TECHNOLOGY</c:v>
                </c:pt>
                <c:pt idx="8">
                  <c:v>COMPLIANCE</c:v>
                </c:pt>
              </c:strCache>
            </c:strRef>
          </c:cat>
          <c:val>
            <c:numRef>
              <c:f>DASHBOARD!$E$40:$E$48</c:f>
              <c:numCache>
                <c:formatCode>0.00</c:formatCode>
                <c:ptCount val="9"/>
                <c:pt idx="0">
                  <c:v>6094510</c:v>
                </c:pt>
                <c:pt idx="1">
                  <c:v>18579380</c:v>
                </c:pt>
                <c:pt idx="2">
                  <c:v>36744570</c:v>
                </c:pt>
                <c:pt idx="3">
                  <c:v>30886740</c:v>
                </c:pt>
                <c:pt idx="4">
                  <c:v>4260240</c:v>
                </c:pt>
                <c:pt idx="5">
                  <c:v>12307360</c:v>
                </c:pt>
                <c:pt idx="6">
                  <c:v>36744570</c:v>
                </c:pt>
                <c:pt idx="7">
                  <c:v>36744570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80-426C-89A3-E0B6F1B5A75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675508016"/>
        <c:axId val="675509456"/>
        <c:axId val="0"/>
      </c:bar3DChart>
      <c:catAx>
        <c:axId val="675508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509456"/>
        <c:crosses val="autoZero"/>
        <c:auto val="1"/>
        <c:lblAlgn val="ctr"/>
        <c:lblOffset val="100"/>
        <c:noMultiLvlLbl val="0"/>
      </c:catAx>
      <c:valAx>
        <c:axId val="67550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508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0</xdr:row>
      <xdr:rowOff>0</xdr:rowOff>
    </xdr:from>
    <xdr:ext cx="8723922" cy="757114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8D06B48-999F-7D87-06FF-317BC407E157}"/>
            </a:ext>
          </a:extLst>
        </xdr:cNvPr>
        <xdr:cNvSpPr/>
      </xdr:nvSpPr>
      <xdr:spPr>
        <a:xfrm>
          <a:off x="1" y="0"/>
          <a:ext cx="8723922" cy="757114"/>
        </a:xfrm>
        <a:prstGeom prst="rect">
          <a:avLst/>
        </a:prstGeom>
        <a:solidFill>
          <a:schemeClr val="tx1"/>
        </a:solidFill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40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rgbClr val="FF0000"/>
              </a:solidFill>
              <a:effectLst/>
            </a:rPr>
            <a:t>ANALYSIS DASHBOARD</a:t>
          </a:r>
        </a:p>
      </xdr:txBody>
    </xdr:sp>
    <xdr:clientData/>
  </xdr:oneCellAnchor>
  <xdr:twoCellAnchor>
    <xdr:from>
      <xdr:col>2</xdr:col>
      <xdr:colOff>490682</xdr:colOff>
      <xdr:row>25</xdr:row>
      <xdr:rowOff>461817</xdr:rowOff>
    </xdr:from>
    <xdr:to>
      <xdr:col>2</xdr:col>
      <xdr:colOff>4387273</xdr:colOff>
      <xdr:row>36</xdr:row>
      <xdr:rowOff>176645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756ADCA-B84C-B2AF-8AFD-2003195418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86590</xdr:colOff>
      <xdr:row>38</xdr:row>
      <xdr:rowOff>152400</xdr:rowOff>
    </xdr:from>
    <xdr:to>
      <xdr:col>2</xdr:col>
      <xdr:colOff>4554681</xdr:colOff>
      <xdr:row>49</xdr:row>
      <xdr:rowOff>115455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BC54CFE-FDA5-D0AD-FB39-874A3EF2FA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FA3D-0AC1-4CDA-A734-A5B9B800A0B4}">
  <dimension ref="A1:U152"/>
  <sheetViews>
    <sheetView zoomScale="120" zoomScaleNormal="120" workbookViewId="0">
      <selection activeCell="G145" sqref="G145"/>
    </sheetView>
  </sheetViews>
  <sheetFormatPr defaultRowHeight="14.5" x14ac:dyDescent="0.35"/>
  <cols>
    <col min="2" max="2" width="11.1796875" customWidth="1"/>
    <col min="6" max="6" width="12.453125" customWidth="1"/>
    <col min="8" max="8" width="13.36328125" customWidth="1"/>
    <col min="9" max="9" width="25.7265625" customWidth="1"/>
    <col min="10" max="10" width="11.453125" customWidth="1"/>
    <col min="14" max="14" width="14" customWidth="1"/>
    <col min="15" max="15" width="15.08984375" customWidth="1"/>
    <col min="17" max="17" width="19.08984375" customWidth="1"/>
    <col min="18" max="18" width="2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50</v>
      </c>
      <c r="B2" t="s">
        <v>32</v>
      </c>
      <c r="C2" t="s">
        <v>33</v>
      </c>
      <c r="D2" t="s">
        <v>23</v>
      </c>
      <c r="E2" t="s">
        <v>24</v>
      </c>
      <c r="F2" t="s">
        <v>34</v>
      </c>
      <c r="G2" t="s">
        <v>35</v>
      </c>
      <c r="H2" t="s">
        <v>36</v>
      </c>
      <c r="I2" s="1">
        <v>43956</v>
      </c>
      <c r="J2">
        <v>100000</v>
      </c>
      <c r="K2">
        <v>2000</v>
      </c>
      <c r="L2">
        <v>500</v>
      </c>
      <c r="M2">
        <v>100</v>
      </c>
      <c r="N2">
        <v>2600</v>
      </c>
      <c r="O2">
        <v>1200000</v>
      </c>
      <c r="P2">
        <v>10000</v>
      </c>
      <c r="Q2">
        <v>960000</v>
      </c>
      <c r="R2">
        <v>6600</v>
      </c>
      <c r="S2">
        <v>976600</v>
      </c>
      <c r="T2">
        <v>16600</v>
      </c>
      <c r="U2">
        <v>1183400</v>
      </c>
    </row>
    <row r="3" spans="1:21" x14ac:dyDescent="0.35">
      <c r="A3">
        <v>51</v>
      </c>
      <c r="B3" t="s">
        <v>37</v>
      </c>
      <c r="C3" t="s">
        <v>38</v>
      </c>
      <c r="D3" t="s">
        <v>23</v>
      </c>
      <c r="E3" t="s">
        <v>39</v>
      </c>
      <c r="F3" t="s">
        <v>34</v>
      </c>
      <c r="G3" t="s">
        <v>26</v>
      </c>
      <c r="H3" t="s">
        <v>36</v>
      </c>
      <c r="I3" s="1">
        <v>43956</v>
      </c>
      <c r="J3">
        <v>100000</v>
      </c>
      <c r="K3">
        <v>2000</v>
      </c>
      <c r="L3">
        <v>500</v>
      </c>
      <c r="M3">
        <v>100</v>
      </c>
      <c r="N3">
        <v>2600</v>
      </c>
      <c r="O3">
        <v>1200000</v>
      </c>
      <c r="P3">
        <v>10000</v>
      </c>
      <c r="Q3">
        <v>960000</v>
      </c>
      <c r="R3">
        <v>6600</v>
      </c>
      <c r="S3">
        <v>976600</v>
      </c>
      <c r="T3">
        <v>16600</v>
      </c>
      <c r="U3">
        <v>1183400</v>
      </c>
    </row>
    <row r="4" spans="1:21" x14ac:dyDescent="0.35">
      <c r="A4">
        <v>52</v>
      </c>
      <c r="B4" t="s">
        <v>40</v>
      </c>
      <c r="C4" t="s">
        <v>41</v>
      </c>
      <c r="D4" t="s">
        <v>23</v>
      </c>
      <c r="E4" t="s">
        <v>39</v>
      </c>
      <c r="F4" t="s">
        <v>34</v>
      </c>
      <c r="G4" t="s">
        <v>26</v>
      </c>
      <c r="H4" t="s">
        <v>36</v>
      </c>
      <c r="I4" s="1">
        <v>43956</v>
      </c>
      <c r="J4">
        <v>100000</v>
      </c>
      <c r="K4">
        <v>2000</v>
      </c>
      <c r="L4">
        <v>500</v>
      </c>
      <c r="M4">
        <v>100</v>
      </c>
      <c r="N4">
        <v>2600</v>
      </c>
      <c r="O4">
        <v>1200000</v>
      </c>
      <c r="P4">
        <v>10000</v>
      </c>
      <c r="Q4">
        <v>960000</v>
      </c>
      <c r="R4">
        <v>6600</v>
      </c>
      <c r="S4">
        <v>976600</v>
      </c>
      <c r="T4">
        <v>16600</v>
      </c>
      <c r="U4">
        <v>1183400</v>
      </c>
    </row>
    <row r="5" spans="1:21" x14ac:dyDescent="0.35">
      <c r="A5">
        <v>52</v>
      </c>
      <c r="B5" t="s">
        <v>40</v>
      </c>
      <c r="C5" t="s">
        <v>41</v>
      </c>
      <c r="D5" t="s">
        <v>23</v>
      </c>
      <c r="E5" t="s">
        <v>39</v>
      </c>
      <c r="F5" t="s">
        <v>34</v>
      </c>
      <c r="G5" t="s">
        <v>26</v>
      </c>
      <c r="H5" t="s">
        <v>36</v>
      </c>
      <c r="I5" s="1">
        <v>43956</v>
      </c>
      <c r="J5">
        <v>100000</v>
      </c>
      <c r="K5">
        <v>2000</v>
      </c>
      <c r="L5">
        <v>500</v>
      </c>
      <c r="M5">
        <v>100</v>
      </c>
      <c r="N5">
        <v>2600</v>
      </c>
      <c r="O5">
        <v>1200000</v>
      </c>
      <c r="P5">
        <v>10000</v>
      </c>
      <c r="Q5">
        <v>960000</v>
      </c>
      <c r="R5">
        <v>6600</v>
      </c>
      <c r="S5">
        <v>976600</v>
      </c>
      <c r="T5">
        <v>16600</v>
      </c>
      <c r="U5">
        <v>1183400</v>
      </c>
    </row>
    <row r="6" spans="1:21" x14ac:dyDescent="0.35">
      <c r="A6">
        <v>53</v>
      </c>
      <c r="B6" t="s">
        <v>42</v>
      </c>
      <c r="C6" t="s">
        <v>43</v>
      </c>
      <c r="D6" t="s">
        <v>23</v>
      </c>
      <c r="E6" t="s">
        <v>24</v>
      </c>
      <c r="F6" t="s">
        <v>34</v>
      </c>
      <c r="G6" t="s">
        <v>35</v>
      </c>
      <c r="H6" t="s">
        <v>36</v>
      </c>
      <c r="I6" s="1">
        <v>43542</v>
      </c>
      <c r="J6">
        <v>100000</v>
      </c>
      <c r="K6">
        <v>2000</v>
      </c>
      <c r="L6">
        <v>500</v>
      </c>
      <c r="M6">
        <v>100</v>
      </c>
      <c r="N6">
        <v>2600</v>
      </c>
      <c r="O6">
        <v>1200000</v>
      </c>
      <c r="P6">
        <v>10000</v>
      </c>
      <c r="Q6">
        <v>960000</v>
      </c>
      <c r="R6">
        <v>6600</v>
      </c>
      <c r="S6">
        <v>976600</v>
      </c>
      <c r="T6">
        <v>16600</v>
      </c>
      <c r="U6">
        <v>1183400</v>
      </c>
    </row>
    <row r="7" spans="1:21" x14ac:dyDescent="0.35">
      <c r="A7">
        <v>54</v>
      </c>
      <c r="B7" t="s">
        <v>44</v>
      </c>
      <c r="C7" t="s">
        <v>45</v>
      </c>
      <c r="D7" t="s">
        <v>23</v>
      </c>
      <c r="E7" t="s">
        <v>39</v>
      </c>
      <c r="F7" t="s">
        <v>34</v>
      </c>
      <c r="G7" t="s">
        <v>26</v>
      </c>
      <c r="H7" t="s">
        <v>36</v>
      </c>
      <c r="I7" s="1">
        <v>43542</v>
      </c>
      <c r="J7">
        <v>100000</v>
      </c>
      <c r="K7">
        <v>2000</v>
      </c>
      <c r="L7">
        <v>500</v>
      </c>
      <c r="M7">
        <v>100</v>
      </c>
      <c r="N7">
        <v>2600</v>
      </c>
      <c r="O7">
        <v>1200000</v>
      </c>
      <c r="P7">
        <v>10000</v>
      </c>
      <c r="Q7">
        <v>960000</v>
      </c>
      <c r="R7">
        <v>6600</v>
      </c>
      <c r="S7">
        <v>976600</v>
      </c>
      <c r="T7">
        <v>16600</v>
      </c>
      <c r="U7">
        <v>1183400</v>
      </c>
    </row>
    <row r="8" spans="1:21" x14ac:dyDescent="0.35">
      <c r="A8">
        <v>55</v>
      </c>
      <c r="B8" t="s">
        <v>46</v>
      </c>
      <c r="C8" t="s">
        <v>47</v>
      </c>
      <c r="D8" t="s">
        <v>23</v>
      </c>
      <c r="E8" t="s">
        <v>39</v>
      </c>
      <c r="F8" t="s">
        <v>34</v>
      </c>
      <c r="G8" t="s">
        <v>35</v>
      </c>
      <c r="H8" t="s">
        <v>36</v>
      </c>
      <c r="I8" s="1">
        <v>43542</v>
      </c>
      <c r="J8">
        <v>100000</v>
      </c>
      <c r="K8">
        <v>2000</v>
      </c>
      <c r="L8">
        <v>500</v>
      </c>
      <c r="M8">
        <v>100</v>
      </c>
      <c r="N8">
        <v>2600</v>
      </c>
      <c r="O8">
        <v>1200000</v>
      </c>
      <c r="P8">
        <v>10000</v>
      </c>
      <c r="Q8">
        <v>960000</v>
      </c>
      <c r="R8">
        <v>6600</v>
      </c>
      <c r="S8">
        <v>976600</v>
      </c>
      <c r="T8">
        <v>16600</v>
      </c>
      <c r="U8">
        <v>1183400</v>
      </c>
    </row>
    <row r="9" spans="1:21" x14ac:dyDescent="0.35">
      <c r="A9">
        <v>7</v>
      </c>
      <c r="B9" t="s">
        <v>21</v>
      </c>
      <c r="C9" t="s">
        <v>22</v>
      </c>
      <c r="D9" t="s">
        <v>23</v>
      </c>
      <c r="E9" t="s">
        <v>24</v>
      </c>
      <c r="F9" t="s">
        <v>25</v>
      </c>
      <c r="G9" t="s">
        <v>26</v>
      </c>
      <c r="H9" t="s">
        <v>27</v>
      </c>
      <c r="I9" s="1">
        <v>42622</v>
      </c>
      <c r="J9">
        <v>200000</v>
      </c>
      <c r="K9">
        <v>4000</v>
      </c>
      <c r="L9">
        <v>1000</v>
      </c>
      <c r="M9">
        <v>200</v>
      </c>
      <c r="N9">
        <v>5200</v>
      </c>
      <c r="O9">
        <v>2400000</v>
      </c>
      <c r="P9">
        <v>20000</v>
      </c>
      <c r="Q9">
        <v>1920000</v>
      </c>
      <c r="R9">
        <v>13200</v>
      </c>
      <c r="S9">
        <v>1953200</v>
      </c>
      <c r="T9">
        <v>33200</v>
      </c>
      <c r="U9">
        <v>2366800</v>
      </c>
    </row>
    <row r="10" spans="1:21" x14ac:dyDescent="0.35">
      <c r="A10">
        <v>65</v>
      </c>
      <c r="B10" t="s">
        <v>48</v>
      </c>
      <c r="C10" t="s">
        <v>49</v>
      </c>
      <c r="D10" t="s">
        <v>23</v>
      </c>
      <c r="E10" t="s">
        <v>39</v>
      </c>
      <c r="F10" t="s">
        <v>50</v>
      </c>
      <c r="G10" t="s">
        <v>35</v>
      </c>
      <c r="H10" t="s">
        <v>51</v>
      </c>
      <c r="I10" s="1">
        <v>43542</v>
      </c>
      <c r="J10">
        <v>150000</v>
      </c>
      <c r="K10">
        <v>3000</v>
      </c>
      <c r="L10">
        <v>750</v>
      </c>
      <c r="M10">
        <v>150</v>
      </c>
      <c r="N10">
        <v>3900</v>
      </c>
      <c r="O10">
        <v>1800000</v>
      </c>
      <c r="P10">
        <v>15000</v>
      </c>
      <c r="Q10">
        <v>1440000</v>
      </c>
      <c r="R10">
        <v>9900</v>
      </c>
      <c r="S10">
        <v>1464900</v>
      </c>
      <c r="T10">
        <v>24900</v>
      </c>
      <c r="U10">
        <v>1775100</v>
      </c>
    </row>
    <row r="11" spans="1:21" x14ac:dyDescent="0.35">
      <c r="A11">
        <v>35</v>
      </c>
      <c r="B11" t="s">
        <v>28</v>
      </c>
      <c r="C11" t="s">
        <v>29</v>
      </c>
      <c r="D11" t="s">
        <v>23</v>
      </c>
      <c r="E11" t="s">
        <v>24</v>
      </c>
      <c r="F11" t="s">
        <v>30</v>
      </c>
      <c r="G11" t="s">
        <v>26</v>
      </c>
      <c r="H11" t="s">
        <v>31</v>
      </c>
      <c r="I11" s="1">
        <v>43437</v>
      </c>
      <c r="J11">
        <v>120000</v>
      </c>
      <c r="K11">
        <v>2400</v>
      </c>
      <c r="L11">
        <v>600</v>
      </c>
      <c r="M11">
        <v>120</v>
      </c>
      <c r="N11">
        <v>3120</v>
      </c>
      <c r="O11">
        <v>1440000</v>
      </c>
      <c r="P11">
        <v>12000</v>
      </c>
      <c r="Q11">
        <v>1152000</v>
      </c>
      <c r="R11">
        <v>7920</v>
      </c>
      <c r="S11">
        <v>1171920</v>
      </c>
      <c r="T11">
        <v>19920</v>
      </c>
      <c r="U11">
        <v>1420080</v>
      </c>
    </row>
    <row r="12" spans="1:21" x14ac:dyDescent="0.35">
      <c r="A12">
        <v>21</v>
      </c>
      <c r="B12" t="s">
        <v>52</v>
      </c>
      <c r="C12" t="s">
        <v>53</v>
      </c>
      <c r="D12" t="s">
        <v>54</v>
      </c>
      <c r="E12" t="s">
        <v>39</v>
      </c>
      <c r="F12" t="s">
        <v>25</v>
      </c>
      <c r="G12" t="s">
        <v>35</v>
      </c>
      <c r="H12" t="s">
        <v>31</v>
      </c>
      <c r="I12" s="1">
        <v>44453</v>
      </c>
      <c r="J12">
        <v>120000</v>
      </c>
      <c r="K12">
        <v>2400</v>
      </c>
      <c r="L12">
        <v>600</v>
      </c>
      <c r="M12">
        <v>120</v>
      </c>
      <c r="N12">
        <v>3120</v>
      </c>
      <c r="O12">
        <v>1440000</v>
      </c>
      <c r="P12">
        <v>12000</v>
      </c>
      <c r="Q12">
        <v>1152000</v>
      </c>
      <c r="R12">
        <v>7920</v>
      </c>
      <c r="S12">
        <v>1171920</v>
      </c>
      <c r="T12">
        <v>19920</v>
      </c>
      <c r="U12">
        <v>1420080</v>
      </c>
    </row>
    <row r="13" spans="1:21" x14ac:dyDescent="0.35">
      <c r="A13">
        <v>87</v>
      </c>
      <c r="B13" t="s">
        <v>57</v>
      </c>
      <c r="C13" t="s">
        <v>58</v>
      </c>
      <c r="D13" t="s">
        <v>54</v>
      </c>
      <c r="E13" t="s">
        <v>24</v>
      </c>
      <c r="F13" t="s">
        <v>25</v>
      </c>
      <c r="G13" t="s">
        <v>35</v>
      </c>
      <c r="H13" t="s">
        <v>27</v>
      </c>
      <c r="I13" s="1">
        <v>43542</v>
      </c>
      <c r="J13">
        <v>200000</v>
      </c>
      <c r="K13">
        <v>4000</v>
      </c>
      <c r="L13">
        <v>1000</v>
      </c>
      <c r="M13">
        <v>200</v>
      </c>
      <c r="N13">
        <v>5200</v>
      </c>
      <c r="O13">
        <v>2400000</v>
      </c>
      <c r="P13">
        <v>20000</v>
      </c>
      <c r="Q13">
        <v>1920000</v>
      </c>
      <c r="R13">
        <v>13200</v>
      </c>
      <c r="S13">
        <v>1953200</v>
      </c>
      <c r="T13">
        <v>33200</v>
      </c>
      <c r="U13">
        <v>2366800</v>
      </c>
    </row>
    <row r="14" spans="1:21" x14ac:dyDescent="0.35">
      <c r="A14">
        <v>70</v>
      </c>
      <c r="B14" t="s">
        <v>55</v>
      </c>
      <c r="C14" t="s">
        <v>56</v>
      </c>
      <c r="D14" t="s">
        <v>54</v>
      </c>
      <c r="E14" t="s">
        <v>24</v>
      </c>
      <c r="F14" t="s">
        <v>50</v>
      </c>
      <c r="G14" t="s">
        <v>26</v>
      </c>
      <c r="H14" t="s">
        <v>51</v>
      </c>
      <c r="I14" s="1">
        <v>43542</v>
      </c>
      <c r="J14">
        <v>150000</v>
      </c>
      <c r="K14">
        <v>3000</v>
      </c>
      <c r="L14">
        <v>750</v>
      </c>
      <c r="M14">
        <v>150</v>
      </c>
      <c r="N14">
        <v>3900</v>
      </c>
      <c r="O14">
        <v>1800000</v>
      </c>
      <c r="P14">
        <v>15000</v>
      </c>
      <c r="Q14">
        <v>1440000</v>
      </c>
      <c r="R14">
        <v>9900</v>
      </c>
      <c r="S14">
        <v>1464900</v>
      </c>
      <c r="T14">
        <v>24900</v>
      </c>
      <c r="U14">
        <v>1775100</v>
      </c>
    </row>
    <row r="15" spans="1:21" x14ac:dyDescent="0.35">
      <c r="A15">
        <v>107</v>
      </c>
      <c r="B15" t="s">
        <v>62</v>
      </c>
      <c r="C15" t="s">
        <v>63</v>
      </c>
      <c r="D15" t="s">
        <v>54</v>
      </c>
      <c r="E15" t="s">
        <v>39</v>
      </c>
      <c r="F15" t="s">
        <v>50</v>
      </c>
      <c r="G15" t="s">
        <v>35</v>
      </c>
      <c r="H15" t="s">
        <v>51</v>
      </c>
      <c r="I15" s="1">
        <v>44448</v>
      </c>
      <c r="J15">
        <v>150000</v>
      </c>
      <c r="K15">
        <v>3000</v>
      </c>
      <c r="L15">
        <v>750</v>
      </c>
      <c r="M15">
        <v>150</v>
      </c>
      <c r="N15">
        <v>3900</v>
      </c>
      <c r="O15">
        <v>1800000</v>
      </c>
      <c r="P15">
        <v>15000</v>
      </c>
      <c r="Q15">
        <v>1440000</v>
      </c>
      <c r="R15">
        <v>9900</v>
      </c>
      <c r="S15">
        <v>1464900</v>
      </c>
      <c r="T15">
        <v>24900</v>
      </c>
      <c r="U15">
        <v>1775100</v>
      </c>
    </row>
    <row r="16" spans="1:21" x14ac:dyDescent="0.35">
      <c r="A16">
        <v>96</v>
      </c>
      <c r="B16" t="s">
        <v>59</v>
      </c>
      <c r="C16" t="s">
        <v>60</v>
      </c>
      <c r="D16" t="s">
        <v>54</v>
      </c>
      <c r="E16" t="s">
        <v>24</v>
      </c>
      <c r="F16" t="s">
        <v>61</v>
      </c>
      <c r="G16" t="s">
        <v>26</v>
      </c>
      <c r="H16" t="s">
        <v>31</v>
      </c>
      <c r="I16" s="1">
        <v>44448</v>
      </c>
      <c r="J16">
        <v>120000</v>
      </c>
      <c r="K16">
        <v>2400</v>
      </c>
      <c r="L16">
        <v>600</v>
      </c>
      <c r="M16">
        <v>120</v>
      </c>
      <c r="N16">
        <v>3120</v>
      </c>
      <c r="O16">
        <v>1440000</v>
      </c>
      <c r="P16">
        <v>12000</v>
      </c>
      <c r="Q16">
        <v>1152000</v>
      </c>
      <c r="R16">
        <v>7920</v>
      </c>
      <c r="S16">
        <v>1171920</v>
      </c>
      <c r="T16">
        <v>19920</v>
      </c>
      <c r="U16">
        <v>1420080</v>
      </c>
    </row>
    <row r="17" spans="1:21" x14ac:dyDescent="0.35">
      <c r="A17">
        <v>62</v>
      </c>
      <c r="B17" t="s">
        <v>64</v>
      </c>
      <c r="C17" t="s">
        <v>65</v>
      </c>
      <c r="D17" t="s">
        <v>66</v>
      </c>
      <c r="E17" t="s">
        <v>24</v>
      </c>
      <c r="F17" t="s">
        <v>50</v>
      </c>
      <c r="G17" t="s">
        <v>26</v>
      </c>
      <c r="H17" t="s">
        <v>51</v>
      </c>
      <c r="I17" s="1">
        <v>43542</v>
      </c>
      <c r="J17">
        <v>150000</v>
      </c>
      <c r="K17">
        <v>3000</v>
      </c>
      <c r="L17">
        <v>750</v>
      </c>
      <c r="M17">
        <v>150</v>
      </c>
      <c r="N17">
        <v>3900</v>
      </c>
      <c r="O17">
        <v>1800000</v>
      </c>
      <c r="P17">
        <v>15000</v>
      </c>
      <c r="Q17">
        <v>1440000</v>
      </c>
      <c r="R17">
        <v>9900</v>
      </c>
      <c r="S17">
        <v>1464900</v>
      </c>
      <c r="T17">
        <v>24900</v>
      </c>
      <c r="U17">
        <v>1775100</v>
      </c>
    </row>
    <row r="18" spans="1:21" x14ac:dyDescent="0.35">
      <c r="A18">
        <v>39</v>
      </c>
      <c r="B18" t="s">
        <v>79</v>
      </c>
      <c r="C18" t="s">
        <v>80</v>
      </c>
      <c r="D18" t="s">
        <v>69</v>
      </c>
      <c r="E18" t="s">
        <v>24</v>
      </c>
      <c r="F18" t="s">
        <v>81</v>
      </c>
      <c r="G18" t="s">
        <v>26</v>
      </c>
      <c r="H18" t="s">
        <v>51</v>
      </c>
      <c r="I18" s="1">
        <v>44197</v>
      </c>
      <c r="J18">
        <v>150000</v>
      </c>
      <c r="K18">
        <v>3000</v>
      </c>
      <c r="L18">
        <v>750</v>
      </c>
      <c r="M18">
        <v>150</v>
      </c>
      <c r="N18">
        <v>3900</v>
      </c>
      <c r="O18">
        <v>1800000</v>
      </c>
      <c r="P18">
        <v>15000</v>
      </c>
      <c r="Q18">
        <v>1440000</v>
      </c>
      <c r="R18">
        <v>9900</v>
      </c>
      <c r="S18">
        <v>1464900</v>
      </c>
      <c r="T18">
        <v>24900</v>
      </c>
      <c r="U18">
        <v>1775100</v>
      </c>
    </row>
    <row r="19" spans="1:21" x14ac:dyDescent="0.35">
      <c r="A19">
        <v>76</v>
      </c>
      <c r="B19" t="s">
        <v>82</v>
      </c>
      <c r="C19" t="s">
        <v>83</v>
      </c>
      <c r="D19" t="s">
        <v>69</v>
      </c>
      <c r="E19" t="s">
        <v>24</v>
      </c>
      <c r="F19" t="s">
        <v>81</v>
      </c>
      <c r="G19" t="s">
        <v>35</v>
      </c>
      <c r="H19" t="s">
        <v>31</v>
      </c>
      <c r="I19" s="1">
        <v>43542</v>
      </c>
      <c r="J19">
        <v>120000</v>
      </c>
      <c r="K19">
        <v>2400</v>
      </c>
      <c r="L19">
        <v>600</v>
      </c>
      <c r="M19">
        <v>120</v>
      </c>
      <c r="N19">
        <v>3120</v>
      </c>
      <c r="O19">
        <v>1440000</v>
      </c>
      <c r="P19">
        <v>12000</v>
      </c>
      <c r="Q19">
        <v>1152000</v>
      </c>
      <c r="R19">
        <v>7920</v>
      </c>
      <c r="S19">
        <v>1171920</v>
      </c>
      <c r="T19">
        <v>19920</v>
      </c>
      <c r="U19">
        <v>1420080</v>
      </c>
    </row>
    <row r="20" spans="1:21" x14ac:dyDescent="0.35">
      <c r="A20">
        <v>8</v>
      </c>
      <c r="B20" t="s">
        <v>72</v>
      </c>
      <c r="C20" t="s">
        <v>73</v>
      </c>
      <c r="D20" t="s">
        <v>69</v>
      </c>
      <c r="E20" t="s">
        <v>39</v>
      </c>
      <c r="F20" t="s">
        <v>74</v>
      </c>
      <c r="G20" t="s">
        <v>26</v>
      </c>
      <c r="H20" t="s">
        <v>36</v>
      </c>
      <c r="I20" s="1">
        <v>44352</v>
      </c>
      <c r="J20">
        <v>100000</v>
      </c>
      <c r="K20">
        <v>2000</v>
      </c>
      <c r="L20">
        <v>500</v>
      </c>
      <c r="M20">
        <v>100</v>
      </c>
      <c r="N20">
        <v>2600</v>
      </c>
      <c r="O20">
        <v>1200000</v>
      </c>
      <c r="P20">
        <v>10000</v>
      </c>
      <c r="Q20">
        <v>960000</v>
      </c>
      <c r="R20">
        <v>6600</v>
      </c>
      <c r="S20">
        <v>976600</v>
      </c>
      <c r="T20">
        <v>16600</v>
      </c>
      <c r="U20">
        <v>1183400</v>
      </c>
    </row>
    <row r="21" spans="1:21" x14ac:dyDescent="0.35">
      <c r="A21">
        <v>121</v>
      </c>
      <c r="B21" t="s">
        <v>92</v>
      </c>
      <c r="C21" t="s">
        <v>93</v>
      </c>
      <c r="D21" t="s">
        <v>69</v>
      </c>
      <c r="E21" t="s">
        <v>24</v>
      </c>
      <c r="F21" t="s">
        <v>74</v>
      </c>
      <c r="G21" t="s">
        <v>26</v>
      </c>
      <c r="H21" t="s">
        <v>31</v>
      </c>
      <c r="I21" s="1">
        <v>44452</v>
      </c>
      <c r="J21">
        <v>120000</v>
      </c>
      <c r="K21">
        <v>2400</v>
      </c>
      <c r="L21">
        <v>600</v>
      </c>
      <c r="M21">
        <v>120</v>
      </c>
      <c r="N21">
        <v>3120</v>
      </c>
      <c r="O21">
        <v>1440000</v>
      </c>
      <c r="P21">
        <v>12000</v>
      </c>
      <c r="Q21">
        <v>1152000</v>
      </c>
      <c r="R21">
        <v>7920</v>
      </c>
      <c r="S21">
        <v>1171920</v>
      </c>
      <c r="T21">
        <v>19920</v>
      </c>
      <c r="U21">
        <v>1420080</v>
      </c>
    </row>
    <row r="22" spans="1:21" x14ac:dyDescent="0.35">
      <c r="A22">
        <v>141</v>
      </c>
      <c r="B22" t="s">
        <v>94</v>
      </c>
      <c r="C22" t="s">
        <v>95</v>
      </c>
      <c r="D22" t="s">
        <v>69</v>
      </c>
      <c r="E22" t="s">
        <v>24</v>
      </c>
      <c r="F22" t="s">
        <v>74</v>
      </c>
      <c r="G22" t="s">
        <v>26</v>
      </c>
      <c r="H22" t="s">
        <v>36</v>
      </c>
      <c r="I22" s="1">
        <v>44457</v>
      </c>
      <c r="J22">
        <v>100000</v>
      </c>
      <c r="K22">
        <v>2000</v>
      </c>
      <c r="L22">
        <v>500</v>
      </c>
      <c r="M22">
        <v>100</v>
      </c>
      <c r="N22">
        <v>2600</v>
      </c>
      <c r="O22">
        <v>1200000</v>
      </c>
      <c r="P22">
        <v>10000</v>
      </c>
      <c r="Q22">
        <v>960000</v>
      </c>
      <c r="R22">
        <v>6600</v>
      </c>
      <c r="S22">
        <v>976600</v>
      </c>
      <c r="T22">
        <v>16600</v>
      </c>
      <c r="U22">
        <v>1183400</v>
      </c>
    </row>
    <row r="23" spans="1:21" x14ac:dyDescent="0.35">
      <c r="A23">
        <v>2</v>
      </c>
      <c r="B23" t="s">
        <v>67</v>
      </c>
      <c r="C23" t="s">
        <v>68</v>
      </c>
      <c r="D23" t="s">
        <v>69</v>
      </c>
      <c r="E23" t="s">
        <v>24</v>
      </c>
      <c r="F23" t="s">
        <v>25</v>
      </c>
      <c r="G23" t="s">
        <v>26</v>
      </c>
      <c r="H23" t="s">
        <v>36</v>
      </c>
      <c r="I23" s="1">
        <v>43437</v>
      </c>
      <c r="J23">
        <v>100000</v>
      </c>
      <c r="K23">
        <v>2000</v>
      </c>
      <c r="L23">
        <v>500</v>
      </c>
      <c r="M23">
        <v>100</v>
      </c>
      <c r="N23">
        <v>2600</v>
      </c>
      <c r="O23">
        <v>1200000</v>
      </c>
      <c r="P23">
        <v>10000</v>
      </c>
      <c r="Q23">
        <v>960000</v>
      </c>
      <c r="R23">
        <v>6600</v>
      </c>
      <c r="S23">
        <v>976600</v>
      </c>
      <c r="T23">
        <v>16600</v>
      </c>
      <c r="U23">
        <v>1183400</v>
      </c>
    </row>
    <row r="24" spans="1:21" x14ac:dyDescent="0.35">
      <c r="A24">
        <v>91</v>
      </c>
      <c r="B24" t="s">
        <v>84</v>
      </c>
      <c r="C24" t="s">
        <v>85</v>
      </c>
      <c r="D24" t="s">
        <v>69</v>
      </c>
      <c r="E24" t="s">
        <v>24</v>
      </c>
      <c r="F24" t="s">
        <v>25</v>
      </c>
      <c r="G24" t="s">
        <v>35</v>
      </c>
      <c r="H24" t="s">
        <v>27</v>
      </c>
      <c r="I24" s="1">
        <v>44448</v>
      </c>
      <c r="J24">
        <v>200000</v>
      </c>
      <c r="K24">
        <v>4000</v>
      </c>
      <c r="L24">
        <v>1000</v>
      </c>
      <c r="M24">
        <v>200</v>
      </c>
      <c r="N24">
        <v>5200</v>
      </c>
      <c r="O24">
        <v>2400000</v>
      </c>
      <c r="P24">
        <v>20000</v>
      </c>
      <c r="Q24">
        <v>1920000</v>
      </c>
      <c r="R24">
        <v>13200</v>
      </c>
      <c r="S24">
        <v>1953200</v>
      </c>
      <c r="T24">
        <v>33200</v>
      </c>
      <c r="U24">
        <v>2366800</v>
      </c>
    </row>
    <row r="25" spans="1:21" x14ac:dyDescent="0.35">
      <c r="A25">
        <v>11</v>
      </c>
      <c r="B25" t="s">
        <v>75</v>
      </c>
      <c r="C25" t="s">
        <v>76</v>
      </c>
      <c r="D25" t="s">
        <v>69</v>
      </c>
      <c r="E25" t="s">
        <v>24</v>
      </c>
      <c r="F25" t="s">
        <v>50</v>
      </c>
      <c r="G25" t="s">
        <v>35</v>
      </c>
      <c r="H25" t="s">
        <v>31</v>
      </c>
      <c r="I25" s="1">
        <v>44443</v>
      </c>
      <c r="J25">
        <v>120000</v>
      </c>
      <c r="K25">
        <v>2400</v>
      </c>
      <c r="L25">
        <v>600</v>
      </c>
      <c r="M25">
        <v>120</v>
      </c>
      <c r="N25">
        <v>3120</v>
      </c>
      <c r="O25">
        <v>1440000</v>
      </c>
      <c r="P25">
        <v>12000</v>
      </c>
      <c r="Q25">
        <v>1152000</v>
      </c>
      <c r="R25">
        <v>7920</v>
      </c>
      <c r="S25">
        <v>1171920</v>
      </c>
      <c r="T25">
        <v>19920</v>
      </c>
      <c r="U25">
        <v>1420080</v>
      </c>
    </row>
    <row r="26" spans="1:21" x14ac:dyDescent="0.35">
      <c r="A26">
        <v>18</v>
      </c>
      <c r="B26" t="s">
        <v>77</v>
      </c>
      <c r="C26" t="s">
        <v>78</v>
      </c>
      <c r="D26" t="s">
        <v>69</v>
      </c>
      <c r="E26" t="s">
        <v>24</v>
      </c>
      <c r="F26" t="s">
        <v>50</v>
      </c>
      <c r="G26" t="s">
        <v>35</v>
      </c>
      <c r="H26" t="s">
        <v>31</v>
      </c>
      <c r="I26" s="1">
        <v>44450</v>
      </c>
      <c r="J26">
        <v>120000</v>
      </c>
      <c r="K26">
        <v>2400</v>
      </c>
      <c r="L26">
        <v>600</v>
      </c>
      <c r="M26">
        <v>120</v>
      </c>
      <c r="N26">
        <v>3120</v>
      </c>
      <c r="O26">
        <v>1440000</v>
      </c>
      <c r="P26">
        <v>12000</v>
      </c>
      <c r="Q26">
        <v>1152000</v>
      </c>
      <c r="R26">
        <v>7920</v>
      </c>
      <c r="S26">
        <v>1171920</v>
      </c>
      <c r="T26">
        <v>19920</v>
      </c>
      <c r="U26">
        <v>1420080</v>
      </c>
    </row>
    <row r="27" spans="1:21" x14ac:dyDescent="0.35">
      <c r="A27">
        <v>100</v>
      </c>
      <c r="B27" t="s">
        <v>86</v>
      </c>
      <c r="C27" t="s">
        <v>87</v>
      </c>
      <c r="D27" t="s">
        <v>69</v>
      </c>
      <c r="E27" t="s">
        <v>24</v>
      </c>
      <c r="F27" t="s">
        <v>50</v>
      </c>
      <c r="G27" t="s">
        <v>26</v>
      </c>
      <c r="H27" t="s">
        <v>51</v>
      </c>
      <c r="I27" s="1">
        <v>44448</v>
      </c>
      <c r="J27">
        <v>150000</v>
      </c>
      <c r="K27">
        <v>3000</v>
      </c>
      <c r="L27">
        <v>750</v>
      </c>
      <c r="M27">
        <v>150</v>
      </c>
      <c r="N27">
        <v>3900</v>
      </c>
      <c r="O27">
        <v>1800000</v>
      </c>
      <c r="P27">
        <v>15000</v>
      </c>
      <c r="Q27">
        <v>1440000</v>
      </c>
      <c r="R27">
        <v>9900</v>
      </c>
      <c r="S27">
        <v>1464900</v>
      </c>
      <c r="T27">
        <v>24900</v>
      </c>
      <c r="U27">
        <v>1775100</v>
      </c>
    </row>
    <row r="28" spans="1:21" x14ac:dyDescent="0.35">
      <c r="A28">
        <v>102</v>
      </c>
      <c r="B28" t="s">
        <v>88</v>
      </c>
      <c r="C28" t="s">
        <v>89</v>
      </c>
      <c r="D28" t="s">
        <v>69</v>
      </c>
      <c r="E28" t="s">
        <v>39</v>
      </c>
      <c r="F28" t="s">
        <v>50</v>
      </c>
      <c r="G28" t="s">
        <v>26</v>
      </c>
      <c r="H28" t="s">
        <v>51</v>
      </c>
      <c r="I28" s="1">
        <v>44448</v>
      </c>
      <c r="J28">
        <v>150000</v>
      </c>
      <c r="K28">
        <v>3000</v>
      </c>
      <c r="L28">
        <v>750</v>
      </c>
      <c r="M28">
        <v>150</v>
      </c>
      <c r="N28">
        <v>3900</v>
      </c>
      <c r="O28">
        <v>1800000</v>
      </c>
      <c r="P28">
        <v>15000</v>
      </c>
      <c r="Q28">
        <v>1440000</v>
      </c>
      <c r="R28">
        <v>9900</v>
      </c>
      <c r="S28">
        <v>1464900</v>
      </c>
      <c r="T28">
        <v>24900</v>
      </c>
      <c r="U28">
        <v>1775100</v>
      </c>
    </row>
    <row r="29" spans="1:21" x14ac:dyDescent="0.35">
      <c r="A29">
        <v>111</v>
      </c>
      <c r="B29" t="s">
        <v>90</v>
      </c>
      <c r="C29" t="s">
        <v>91</v>
      </c>
      <c r="D29" t="s">
        <v>69</v>
      </c>
      <c r="E29" t="s">
        <v>24</v>
      </c>
      <c r="F29" t="s">
        <v>50</v>
      </c>
      <c r="G29" t="s">
        <v>35</v>
      </c>
      <c r="H29" t="s">
        <v>36</v>
      </c>
      <c r="I29" s="1">
        <v>44451</v>
      </c>
      <c r="J29">
        <v>100000</v>
      </c>
      <c r="K29">
        <v>2000</v>
      </c>
      <c r="L29">
        <v>500</v>
      </c>
      <c r="M29">
        <v>100</v>
      </c>
      <c r="N29">
        <v>2600</v>
      </c>
      <c r="O29">
        <v>1200000</v>
      </c>
      <c r="P29">
        <v>10000</v>
      </c>
      <c r="Q29">
        <v>960000</v>
      </c>
      <c r="R29">
        <v>6600</v>
      </c>
      <c r="S29">
        <v>976600</v>
      </c>
      <c r="T29">
        <v>16600</v>
      </c>
      <c r="U29">
        <v>1183400</v>
      </c>
    </row>
    <row r="30" spans="1:21" x14ac:dyDescent="0.35">
      <c r="A30">
        <v>4</v>
      </c>
      <c r="B30" t="s">
        <v>70</v>
      </c>
      <c r="C30" t="s">
        <v>71</v>
      </c>
      <c r="D30" t="s">
        <v>69</v>
      </c>
      <c r="E30" t="s">
        <v>39</v>
      </c>
      <c r="F30" t="s">
        <v>30</v>
      </c>
      <c r="G30" t="s">
        <v>26</v>
      </c>
      <c r="H30" t="s">
        <v>31</v>
      </c>
      <c r="I30" s="1">
        <v>43542</v>
      </c>
      <c r="J30">
        <v>120000</v>
      </c>
      <c r="K30">
        <v>2400</v>
      </c>
      <c r="L30">
        <v>600</v>
      </c>
      <c r="M30">
        <v>120</v>
      </c>
      <c r="N30">
        <v>3120</v>
      </c>
      <c r="O30">
        <v>1440000</v>
      </c>
      <c r="P30">
        <v>12000</v>
      </c>
      <c r="Q30">
        <v>1152000</v>
      </c>
      <c r="R30">
        <v>7920</v>
      </c>
      <c r="S30">
        <v>1171920</v>
      </c>
      <c r="T30">
        <v>19920</v>
      </c>
      <c r="U30">
        <v>1420080</v>
      </c>
    </row>
    <row r="31" spans="1:21" x14ac:dyDescent="0.35">
      <c r="A31">
        <v>25</v>
      </c>
      <c r="B31" t="s">
        <v>96</v>
      </c>
      <c r="C31" t="s">
        <v>97</v>
      </c>
      <c r="D31" t="s">
        <v>98</v>
      </c>
      <c r="E31" t="s">
        <v>39</v>
      </c>
      <c r="F31" t="s">
        <v>25</v>
      </c>
      <c r="G31" t="s">
        <v>35</v>
      </c>
      <c r="H31" t="s">
        <v>31</v>
      </c>
      <c r="I31" s="1">
        <v>43437</v>
      </c>
      <c r="J31">
        <v>120000</v>
      </c>
      <c r="K31">
        <v>2400</v>
      </c>
      <c r="L31">
        <v>600</v>
      </c>
      <c r="M31">
        <v>120</v>
      </c>
      <c r="N31">
        <v>3120</v>
      </c>
      <c r="O31">
        <v>1440000</v>
      </c>
      <c r="P31">
        <v>12000</v>
      </c>
      <c r="Q31">
        <v>1152000</v>
      </c>
      <c r="R31">
        <v>7920</v>
      </c>
      <c r="S31">
        <v>1171920</v>
      </c>
      <c r="T31">
        <v>19920</v>
      </c>
      <c r="U31">
        <v>1420080</v>
      </c>
    </row>
    <row r="32" spans="1:21" x14ac:dyDescent="0.35">
      <c r="A32">
        <v>89</v>
      </c>
      <c r="B32" t="s">
        <v>101</v>
      </c>
      <c r="C32" t="s">
        <v>102</v>
      </c>
      <c r="D32" t="s">
        <v>98</v>
      </c>
      <c r="E32" t="s">
        <v>24</v>
      </c>
      <c r="F32" t="s">
        <v>25</v>
      </c>
      <c r="G32" t="s">
        <v>35</v>
      </c>
      <c r="H32" t="s">
        <v>27</v>
      </c>
      <c r="I32" s="1">
        <v>43542</v>
      </c>
      <c r="J32">
        <v>200000</v>
      </c>
      <c r="K32">
        <v>4000</v>
      </c>
      <c r="L32">
        <v>1000</v>
      </c>
      <c r="M32">
        <v>200</v>
      </c>
      <c r="N32">
        <v>5200</v>
      </c>
      <c r="O32">
        <v>2400000</v>
      </c>
      <c r="P32">
        <v>20000</v>
      </c>
      <c r="Q32">
        <v>1920000</v>
      </c>
      <c r="R32">
        <v>13200</v>
      </c>
      <c r="S32">
        <v>1953200</v>
      </c>
      <c r="T32">
        <v>33200</v>
      </c>
      <c r="U32">
        <v>2366800</v>
      </c>
    </row>
    <row r="33" spans="1:21" x14ac:dyDescent="0.35">
      <c r="A33">
        <v>61</v>
      </c>
      <c r="B33" t="s">
        <v>99</v>
      </c>
      <c r="C33" t="s">
        <v>100</v>
      </c>
      <c r="D33" t="s">
        <v>98</v>
      </c>
      <c r="E33" t="s">
        <v>24</v>
      </c>
      <c r="F33" t="s">
        <v>50</v>
      </c>
      <c r="G33" t="s">
        <v>35</v>
      </c>
      <c r="H33" t="s">
        <v>36</v>
      </c>
      <c r="I33" s="1">
        <v>43542</v>
      </c>
      <c r="J33">
        <v>100000</v>
      </c>
      <c r="K33">
        <v>2000</v>
      </c>
      <c r="L33">
        <v>500</v>
      </c>
      <c r="M33">
        <v>100</v>
      </c>
      <c r="N33">
        <v>2600</v>
      </c>
      <c r="O33">
        <v>1200000</v>
      </c>
      <c r="P33">
        <v>10000</v>
      </c>
      <c r="Q33">
        <v>960000</v>
      </c>
      <c r="R33">
        <v>6600</v>
      </c>
      <c r="S33">
        <v>976600</v>
      </c>
      <c r="T33">
        <v>16600</v>
      </c>
      <c r="U33">
        <v>1183400</v>
      </c>
    </row>
    <row r="34" spans="1:21" x14ac:dyDescent="0.35">
      <c r="A34">
        <v>139</v>
      </c>
      <c r="B34" t="s">
        <v>103</v>
      </c>
      <c r="C34" t="s">
        <v>104</v>
      </c>
      <c r="D34" t="s">
        <v>98</v>
      </c>
      <c r="E34" t="s">
        <v>39</v>
      </c>
      <c r="F34" t="s">
        <v>30</v>
      </c>
      <c r="G34" t="s">
        <v>26</v>
      </c>
      <c r="H34" t="s">
        <v>31</v>
      </c>
      <c r="I34" s="1">
        <v>44456</v>
      </c>
      <c r="J34">
        <v>120000</v>
      </c>
      <c r="K34">
        <v>2400</v>
      </c>
      <c r="L34">
        <v>600</v>
      </c>
      <c r="M34">
        <v>120</v>
      </c>
      <c r="N34">
        <v>3120</v>
      </c>
      <c r="O34">
        <v>1440000</v>
      </c>
      <c r="P34">
        <v>12000</v>
      </c>
      <c r="Q34">
        <v>1152000</v>
      </c>
      <c r="R34">
        <v>7920</v>
      </c>
      <c r="S34">
        <v>1171920</v>
      </c>
      <c r="T34">
        <v>19920</v>
      </c>
      <c r="U34">
        <v>1420080</v>
      </c>
    </row>
    <row r="35" spans="1:21" x14ac:dyDescent="0.35">
      <c r="A35">
        <v>46</v>
      </c>
      <c r="B35" t="s">
        <v>110</v>
      </c>
      <c r="C35" t="s">
        <v>111</v>
      </c>
      <c r="D35" t="s">
        <v>107</v>
      </c>
      <c r="E35" t="s">
        <v>24</v>
      </c>
      <c r="F35" t="s">
        <v>81</v>
      </c>
      <c r="G35" t="s">
        <v>35</v>
      </c>
      <c r="H35" t="s">
        <v>36</v>
      </c>
      <c r="I35" s="1">
        <v>43956</v>
      </c>
      <c r="J35">
        <v>100000</v>
      </c>
      <c r="K35">
        <v>2000</v>
      </c>
      <c r="L35">
        <v>500</v>
      </c>
      <c r="M35">
        <v>100</v>
      </c>
      <c r="N35">
        <v>2600</v>
      </c>
      <c r="O35">
        <v>1200000</v>
      </c>
      <c r="P35">
        <v>10000</v>
      </c>
      <c r="Q35">
        <v>960000</v>
      </c>
      <c r="R35">
        <v>6600</v>
      </c>
      <c r="S35">
        <v>976600</v>
      </c>
      <c r="T35">
        <v>16600</v>
      </c>
      <c r="U35">
        <v>1183400</v>
      </c>
    </row>
    <row r="36" spans="1:21" x14ac:dyDescent="0.35">
      <c r="A36">
        <v>9</v>
      </c>
      <c r="B36" t="s">
        <v>105</v>
      </c>
      <c r="C36" t="s">
        <v>106</v>
      </c>
      <c r="D36" t="s">
        <v>107</v>
      </c>
      <c r="E36" t="s">
        <v>24</v>
      </c>
      <c r="F36" t="s">
        <v>34</v>
      </c>
      <c r="G36" t="s">
        <v>35</v>
      </c>
      <c r="H36" t="s">
        <v>31</v>
      </c>
      <c r="I36" s="1">
        <v>44416</v>
      </c>
      <c r="J36">
        <v>130000</v>
      </c>
      <c r="K36">
        <v>2600</v>
      </c>
      <c r="L36">
        <v>650</v>
      </c>
      <c r="M36">
        <v>130</v>
      </c>
      <c r="N36">
        <v>3380</v>
      </c>
      <c r="O36">
        <v>1560000</v>
      </c>
      <c r="P36">
        <v>13000</v>
      </c>
      <c r="Q36">
        <v>1248000</v>
      </c>
      <c r="R36">
        <v>8580</v>
      </c>
      <c r="S36">
        <v>1269580</v>
      </c>
      <c r="T36">
        <v>21580</v>
      </c>
      <c r="U36">
        <v>1538420</v>
      </c>
    </row>
    <row r="37" spans="1:21" x14ac:dyDescent="0.35">
      <c r="A37">
        <v>90</v>
      </c>
      <c r="B37" t="s">
        <v>112</v>
      </c>
      <c r="C37" t="s">
        <v>113</v>
      </c>
      <c r="D37" t="s">
        <v>107</v>
      </c>
      <c r="E37" t="s">
        <v>24</v>
      </c>
      <c r="F37" t="s">
        <v>25</v>
      </c>
      <c r="G37" t="s">
        <v>35</v>
      </c>
      <c r="H37" t="s">
        <v>27</v>
      </c>
      <c r="I37" s="1">
        <v>44448</v>
      </c>
      <c r="J37">
        <v>200000</v>
      </c>
      <c r="K37">
        <v>4000</v>
      </c>
      <c r="L37">
        <v>1000</v>
      </c>
      <c r="M37">
        <v>200</v>
      </c>
      <c r="N37">
        <v>5200</v>
      </c>
      <c r="O37">
        <v>2400000</v>
      </c>
      <c r="P37">
        <v>20000</v>
      </c>
      <c r="Q37">
        <v>1920000</v>
      </c>
      <c r="R37">
        <v>13200</v>
      </c>
      <c r="S37">
        <v>1953200</v>
      </c>
      <c r="T37">
        <v>33200</v>
      </c>
      <c r="U37">
        <v>2366800</v>
      </c>
    </row>
    <row r="38" spans="1:21" x14ac:dyDescent="0.35">
      <c r="A38">
        <v>126</v>
      </c>
      <c r="B38" t="s">
        <v>118</v>
      </c>
      <c r="C38" t="s">
        <v>119</v>
      </c>
      <c r="D38" t="s">
        <v>107</v>
      </c>
      <c r="E38" t="s">
        <v>39</v>
      </c>
      <c r="F38" t="s">
        <v>25</v>
      </c>
      <c r="G38" t="s">
        <v>35</v>
      </c>
      <c r="H38" t="s">
        <v>120</v>
      </c>
      <c r="I38" s="1">
        <v>44452</v>
      </c>
      <c r="J38">
        <v>125000</v>
      </c>
      <c r="K38">
        <v>2500</v>
      </c>
      <c r="L38">
        <v>625</v>
      </c>
      <c r="M38">
        <v>125</v>
      </c>
      <c r="N38">
        <v>3250</v>
      </c>
      <c r="O38">
        <v>1500000</v>
      </c>
      <c r="P38">
        <v>12500</v>
      </c>
      <c r="Q38">
        <v>1200000</v>
      </c>
      <c r="R38">
        <v>8250</v>
      </c>
      <c r="S38">
        <v>1220750</v>
      </c>
      <c r="T38">
        <v>20750</v>
      </c>
      <c r="U38">
        <v>1479250</v>
      </c>
    </row>
    <row r="39" spans="1:21" x14ac:dyDescent="0.35">
      <c r="A39">
        <v>15</v>
      </c>
      <c r="B39" t="s">
        <v>108</v>
      </c>
      <c r="C39" t="s">
        <v>109</v>
      </c>
      <c r="D39" t="s">
        <v>107</v>
      </c>
      <c r="E39" t="s">
        <v>24</v>
      </c>
      <c r="F39" t="s">
        <v>50</v>
      </c>
      <c r="G39" t="s">
        <v>35</v>
      </c>
      <c r="H39" t="s">
        <v>31</v>
      </c>
      <c r="I39" s="1">
        <v>44447</v>
      </c>
      <c r="J39">
        <v>120000</v>
      </c>
      <c r="K39">
        <v>2400</v>
      </c>
      <c r="L39">
        <v>600</v>
      </c>
      <c r="M39">
        <v>120</v>
      </c>
      <c r="N39">
        <v>3120</v>
      </c>
      <c r="O39">
        <v>1440000</v>
      </c>
      <c r="P39">
        <v>12000</v>
      </c>
      <c r="Q39">
        <v>1152000</v>
      </c>
      <c r="R39">
        <v>7920</v>
      </c>
      <c r="S39">
        <v>1171920</v>
      </c>
      <c r="T39">
        <v>19920</v>
      </c>
      <c r="U39">
        <v>1420080</v>
      </c>
    </row>
    <row r="40" spans="1:21" x14ac:dyDescent="0.35">
      <c r="A40">
        <v>108</v>
      </c>
      <c r="B40" t="s">
        <v>114</v>
      </c>
      <c r="C40" t="s">
        <v>115</v>
      </c>
      <c r="D40" t="s">
        <v>107</v>
      </c>
      <c r="E40" t="s">
        <v>39</v>
      </c>
      <c r="F40" t="s">
        <v>50</v>
      </c>
      <c r="G40" t="s">
        <v>35</v>
      </c>
      <c r="H40" t="s">
        <v>51</v>
      </c>
      <c r="I40" s="1">
        <v>44448</v>
      </c>
      <c r="J40">
        <v>150000</v>
      </c>
      <c r="K40">
        <v>3000</v>
      </c>
      <c r="L40">
        <v>750</v>
      </c>
      <c r="M40">
        <v>150</v>
      </c>
      <c r="N40">
        <v>3900</v>
      </c>
      <c r="O40">
        <v>1800000</v>
      </c>
      <c r="P40">
        <v>15000</v>
      </c>
      <c r="Q40">
        <v>1440000</v>
      </c>
      <c r="R40">
        <v>9900</v>
      </c>
      <c r="S40">
        <v>1464900</v>
      </c>
      <c r="T40">
        <v>24900</v>
      </c>
      <c r="U40">
        <v>1775100</v>
      </c>
    </row>
    <row r="41" spans="1:21" x14ac:dyDescent="0.35">
      <c r="A41">
        <v>112</v>
      </c>
      <c r="B41" t="s">
        <v>116</v>
      </c>
      <c r="C41" t="s">
        <v>117</v>
      </c>
      <c r="D41" t="s">
        <v>107</v>
      </c>
      <c r="E41" t="s">
        <v>39</v>
      </c>
      <c r="F41" t="s">
        <v>50</v>
      </c>
      <c r="G41" t="s">
        <v>35</v>
      </c>
      <c r="H41" t="s">
        <v>36</v>
      </c>
      <c r="I41" s="1">
        <v>44451</v>
      </c>
      <c r="J41">
        <v>100000</v>
      </c>
      <c r="K41">
        <v>2000</v>
      </c>
      <c r="L41">
        <v>500</v>
      </c>
      <c r="M41">
        <v>100</v>
      </c>
      <c r="N41">
        <v>2600</v>
      </c>
      <c r="O41">
        <v>1200000</v>
      </c>
      <c r="P41">
        <v>10000</v>
      </c>
      <c r="Q41">
        <v>960000</v>
      </c>
      <c r="R41">
        <v>6600</v>
      </c>
      <c r="S41">
        <v>976600</v>
      </c>
      <c r="T41">
        <v>16600</v>
      </c>
      <c r="U41">
        <v>1183400</v>
      </c>
    </row>
    <row r="42" spans="1:21" x14ac:dyDescent="0.35">
      <c r="A42">
        <v>143</v>
      </c>
      <c r="B42" t="s">
        <v>124</v>
      </c>
      <c r="C42" t="s">
        <v>125</v>
      </c>
      <c r="D42" t="s">
        <v>107</v>
      </c>
      <c r="E42" t="s">
        <v>24</v>
      </c>
      <c r="F42" t="s">
        <v>30</v>
      </c>
      <c r="G42" t="s">
        <v>35</v>
      </c>
      <c r="H42" t="s">
        <v>36</v>
      </c>
      <c r="I42" s="1">
        <v>44457</v>
      </c>
      <c r="J42">
        <v>100000</v>
      </c>
      <c r="K42">
        <v>2000</v>
      </c>
      <c r="L42">
        <v>500</v>
      </c>
      <c r="M42">
        <v>100</v>
      </c>
      <c r="N42">
        <v>2600</v>
      </c>
      <c r="O42">
        <v>1200000</v>
      </c>
      <c r="P42">
        <v>10000</v>
      </c>
      <c r="Q42">
        <v>960000</v>
      </c>
      <c r="R42">
        <v>6600</v>
      </c>
      <c r="S42">
        <v>976600</v>
      </c>
      <c r="T42">
        <v>16600</v>
      </c>
      <c r="U42">
        <v>1183400</v>
      </c>
    </row>
    <row r="43" spans="1:21" x14ac:dyDescent="0.35">
      <c r="A43">
        <v>137</v>
      </c>
      <c r="B43" t="s">
        <v>121</v>
      </c>
      <c r="C43" t="s">
        <v>122</v>
      </c>
      <c r="D43" t="s">
        <v>107</v>
      </c>
      <c r="E43" t="s">
        <v>24</v>
      </c>
      <c r="F43" t="s">
        <v>123</v>
      </c>
      <c r="G43" t="s">
        <v>26</v>
      </c>
      <c r="H43" t="s">
        <v>36</v>
      </c>
      <c r="I43" s="1">
        <v>44454</v>
      </c>
      <c r="J43">
        <v>100000</v>
      </c>
      <c r="K43">
        <v>2000</v>
      </c>
      <c r="L43">
        <v>500</v>
      </c>
      <c r="M43">
        <v>100</v>
      </c>
      <c r="N43">
        <v>2600</v>
      </c>
      <c r="O43">
        <v>1200000</v>
      </c>
      <c r="P43">
        <v>10000</v>
      </c>
      <c r="Q43">
        <v>960000</v>
      </c>
      <c r="R43">
        <v>6600</v>
      </c>
      <c r="S43">
        <v>976600</v>
      </c>
      <c r="T43">
        <v>16600</v>
      </c>
      <c r="U43">
        <v>1183400</v>
      </c>
    </row>
    <row r="44" spans="1:21" x14ac:dyDescent="0.35">
      <c r="A44">
        <v>113</v>
      </c>
      <c r="B44" t="s">
        <v>129</v>
      </c>
      <c r="C44" t="s">
        <v>130</v>
      </c>
      <c r="D44" t="s">
        <v>128</v>
      </c>
      <c r="E44" t="s">
        <v>39</v>
      </c>
      <c r="F44" t="s">
        <v>25</v>
      </c>
      <c r="G44" t="s">
        <v>35</v>
      </c>
      <c r="H44" t="s">
        <v>27</v>
      </c>
      <c r="I44" s="1">
        <v>44451</v>
      </c>
      <c r="J44">
        <v>200000</v>
      </c>
      <c r="K44">
        <v>4000</v>
      </c>
      <c r="L44">
        <v>1000</v>
      </c>
      <c r="M44">
        <v>200</v>
      </c>
      <c r="N44">
        <v>5200</v>
      </c>
      <c r="O44">
        <v>2400000</v>
      </c>
      <c r="P44">
        <v>20000</v>
      </c>
      <c r="Q44">
        <v>1920000</v>
      </c>
      <c r="R44">
        <v>13200</v>
      </c>
      <c r="S44">
        <v>1953200</v>
      </c>
      <c r="T44">
        <v>33200</v>
      </c>
      <c r="U44">
        <v>2366800</v>
      </c>
    </row>
    <row r="45" spans="1:21" x14ac:dyDescent="0.35">
      <c r="A45">
        <v>60</v>
      </c>
      <c r="B45" t="s">
        <v>126</v>
      </c>
      <c r="C45" t="s">
        <v>127</v>
      </c>
      <c r="D45" t="s">
        <v>128</v>
      </c>
      <c r="E45" t="s">
        <v>24</v>
      </c>
      <c r="F45" t="s">
        <v>50</v>
      </c>
      <c r="G45" t="s">
        <v>26</v>
      </c>
      <c r="H45" t="s">
        <v>36</v>
      </c>
      <c r="I45" s="1">
        <v>43542</v>
      </c>
      <c r="J45">
        <v>100000</v>
      </c>
      <c r="K45">
        <v>2000</v>
      </c>
      <c r="L45">
        <v>500</v>
      </c>
      <c r="M45">
        <v>100</v>
      </c>
      <c r="N45">
        <v>2600</v>
      </c>
      <c r="O45">
        <v>1200000</v>
      </c>
      <c r="P45">
        <v>10000</v>
      </c>
      <c r="Q45">
        <v>960000</v>
      </c>
      <c r="R45">
        <v>6600</v>
      </c>
      <c r="S45">
        <v>976600</v>
      </c>
      <c r="T45">
        <v>16600</v>
      </c>
      <c r="U45">
        <v>1183400</v>
      </c>
    </row>
    <row r="46" spans="1:21" x14ac:dyDescent="0.35">
      <c r="A46">
        <v>3</v>
      </c>
      <c r="B46" t="s">
        <v>131</v>
      </c>
      <c r="C46" t="s">
        <v>132</v>
      </c>
      <c r="D46" t="s">
        <v>133</v>
      </c>
      <c r="E46" t="s">
        <v>39</v>
      </c>
      <c r="F46" t="s">
        <v>81</v>
      </c>
      <c r="G46" t="s">
        <v>35</v>
      </c>
      <c r="H46" t="s">
        <v>31</v>
      </c>
      <c r="I46" s="1">
        <v>43956</v>
      </c>
      <c r="J46">
        <v>120000</v>
      </c>
      <c r="K46">
        <v>2400</v>
      </c>
      <c r="L46">
        <v>600</v>
      </c>
      <c r="M46">
        <v>120</v>
      </c>
      <c r="N46">
        <v>3120</v>
      </c>
      <c r="O46">
        <v>1440000</v>
      </c>
      <c r="P46">
        <v>12000</v>
      </c>
      <c r="Q46">
        <v>1152000</v>
      </c>
      <c r="R46">
        <v>7920</v>
      </c>
      <c r="S46">
        <v>1171920</v>
      </c>
      <c r="T46">
        <v>19920</v>
      </c>
      <c r="U46">
        <v>1420080</v>
      </c>
    </row>
    <row r="47" spans="1:21" x14ac:dyDescent="0.35">
      <c r="A47">
        <v>44</v>
      </c>
      <c r="B47" t="s">
        <v>136</v>
      </c>
      <c r="C47" t="s">
        <v>137</v>
      </c>
      <c r="D47" t="s">
        <v>133</v>
      </c>
      <c r="E47" t="s">
        <v>24</v>
      </c>
      <c r="F47" t="s">
        <v>81</v>
      </c>
      <c r="G47" t="s">
        <v>35</v>
      </c>
      <c r="H47" t="s">
        <v>31</v>
      </c>
      <c r="I47" s="1">
        <v>43956</v>
      </c>
      <c r="J47">
        <v>120000</v>
      </c>
      <c r="K47">
        <v>2400</v>
      </c>
      <c r="L47">
        <v>600</v>
      </c>
      <c r="M47">
        <v>120</v>
      </c>
      <c r="N47">
        <v>3120</v>
      </c>
      <c r="O47">
        <v>1440000</v>
      </c>
      <c r="P47">
        <v>12000</v>
      </c>
      <c r="Q47">
        <v>1152000</v>
      </c>
      <c r="R47">
        <v>7920</v>
      </c>
      <c r="S47">
        <v>1171920</v>
      </c>
      <c r="T47">
        <v>19920</v>
      </c>
      <c r="U47">
        <v>1420080</v>
      </c>
    </row>
    <row r="48" spans="1:21" x14ac:dyDescent="0.35">
      <c r="A48">
        <v>71</v>
      </c>
      <c r="B48" t="s">
        <v>138</v>
      </c>
      <c r="C48" t="s">
        <v>139</v>
      </c>
      <c r="D48" t="s">
        <v>133</v>
      </c>
      <c r="E48" t="s">
        <v>24</v>
      </c>
      <c r="F48" t="s">
        <v>81</v>
      </c>
      <c r="G48" t="s">
        <v>26</v>
      </c>
      <c r="H48" t="s">
        <v>51</v>
      </c>
      <c r="I48" s="1">
        <v>43542</v>
      </c>
      <c r="J48">
        <v>150000</v>
      </c>
      <c r="K48">
        <v>3000</v>
      </c>
      <c r="L48">
        <v>750</v>
      </c>
      <c r="M48">
        <v>150</v>
      </c>
      <c r="N48">
        <v>3900</v>
      </c>
      <c r="O48">
        <v>1800000</v>
      </c>
      <c r="P48">
        <v>15000</v>
      </c>
      <c r="Q48">
        <v>1440000</v>
      </c>
      <c r="R48">
        <v>9900</v>
      </c>
      <c r="S48">
        <v>1464900</v>
      </c>
      <c r="T48">
        <v>24900</v>
      </c>
      <c r="U48">
        <v>1775100</v>
      </c>
    </row>
    <row r="49" spans="1:21" x14ac:dyDescent="0.35">
      <c r="A49">
        <v>27</v>
      </c>
      <c r="B49" t="s">
        <v>134</v>
      </c>
      <c r="C49" t="s">
        <v>135</v>
      </c>
      <c r="D49" t="s">
        <v>133</v>
      </c>
      <c r="E49" t="s">
        <v>39</v>
      </c>
      <c r="F49" t="s">
        <v>25</v>
      </c>
      <c r="G49" t="s">
        <v>35</v>
      </c>
      <c r="H49" t="s">
        <v>31</v>
      </c>
      <c r="I49" s="1">
        <v>43437</v>
      </c>
      <c r="J49">
        <v>120000</v>
      </c>
      <c r="K49">
        <v>2400</v>
      </c>
      <c r="L49">
        <v>600</v>
      </c>
      <c r="M49">
        <v>120</v>
      </c>
      <c r="N49">
        <v>3120</v>
      </c>
      <c r="O49">
        <v>1440000</v>
      </c>
      <c r="P49">
        <v>12000</v>
      </c>
      <c r="Q49">
        <v>1152000</v>
      </c>
      <c r="R49">
        <v>7920</v>
      </c>
      <c r="S49">
        <v>1171920</v>
      </c>
      <c r="T49">
        <v>19920</v>
      </c>
      <c r="U49">
        <v>1420080</v>
      </c>
    </row>
    <row r="50" spans="1:21" x14ac:dyDescent="0.35">
      <c r="A50">
        <v>85</v>
      </c>
      <c r="B50" t="s">
        <v>140</v>
      </c>
      <c r="C50" t="s">
        <v>141</v>
      </c>
      <c r="D50" t="s">
        <v>133</v>
      </c>
      <c r="E50" t="s">
        <v>24</v>
      </c>
      <c r="F50" t="s">
        <v>25</v>
      </c>
      <c r="G50" t="s">
        <v>35</v>
      </c>
      <c r="H50" t="s">
        <v>120</v>
      </c>
      <c r="I50" s="1">
        <v>43542</v>
      </c>
      <c r="J50">
        <v>125000</v>
      </c>
      <c r="K50">
        <v>2500</v>
      </c>
      <c r="L50">
        <v>625</v>
      </c>
      <c r="M50">
        <v>125</v>
      </c>
      <c r="N50">
        <v>3250</v>
      </c>
      <c r="O50">
        <v>1500000</v>
      </c>
      <c r="P50">
        <v>12500</v>
      </c>
      <c r="Q50">
        <v>1200000</v>
      </c>
      <c r="R50">
        <v>8250</v>
      </c>
      <c r="S50">
        <v>1220750</v>
      </c>
      <c r="T50">
        <v>20750</v>
      </c>
      <c r="U50">
        <v>1479250</v>
      </c>
    </row>
    <row r="51" spans="1:21" x14ac:dyDescent="0.35">
      <c r="A51">
        <v>92</v>
      </c>
      <c r="B51" t="s">
        <v>142</v>
      </c>
      <c r="C51" t="s">
        <v>143</v>
      </c>
      <c r="D51" t="s">
        <v>133</v>
      </c>
      <c r="E51" t="s">
        <v>24</v>
      </c>
      <c r="F51" t="s">
        <v>25</v>
      </c>
      <c r="G51" t="s">
        <v>35</v>
      </c>
      <c r="H51" t="s">
        <v>36</v>
      </c>
      <c r="I51" s="1">
        <v>44448</v>
      </c>
      <c r="J51">
        <v>100000</v>
      </c>
      <c r="K51">
        <v>2000</v>
      </c>
      <c r="L51">
        <v>500</v>
      </c>
      <c r="M51">
        <v>100</v>
      </c>
      <c r="N51">
        <v>2600</v>
      </c>
      <c r="O51">
        <v>1200000</v>
      </c>
      <c r="P51">
        <v>10000</v>
      </c>
      <c r="Q51">
        <v>960000</v>
      </c>
      <c r="R51">
        <v>6600</v>
      </c>
      <c r="S51">
        <v>976600</v>
      </c>
      <c r="T51">
        <v>16600</v>
      </c>
      <c r="U51">
        <v>1183400</v>
      </c>
    </row>
    <row r="52" spans="1:21" x14ac:dyDescent="0.35">
      <c r="A52">
        <v>114</v>
      </c>
      <c r="B52" t="s">
        <v>148</v>
      </c>
      <c r="C52" t="s">
        <v>149</v>
      </c>
      <c r="D52" t="s">
        <v>133</v>
      </c>
      <c r="E52" t="s">
        <v>24</v>
      </c>
      <c r="F52" t="s">
        <v>25</v>
      </c>
      <c r="G52" t="s">
        <v>35</v>
      </c>
      <c r="H52" t="s">
        <v>27</v>
      </c>
      <c r="I52" s="1">
        <v>44451</v>
      </c>
      <c r="J52">
        <v>200000</v>
      </c>
      <c r="K52">
        <v>4000</v>
      </c>
      <c r="L52">
        <v>1000</v>
      </c>
      <c r="M52">
        <v>200</v>
      </c>
      <c r="N52">
        <v>5200</v>
      </c>
      <c r="O52">
        <v>2400000</v>
      </c>
      <c r="P52">
        <v>20000</v>
      </c>
      <c r="Q52">
        <v>1920000</v>
      </c>
      <c r="R52">
        <v>13200</v>
      </c>
      <c r="S52">
        <v>1953200</v>
      </c>
      <c r="T52">
        <v>33200</v>
      </c>
      <c r="U52">
        <v>2366800</v>
      </c>
    </row>
    <row r="53" spans="1:21" x14ac:dyDescent="0.35">
      <c r="A53">
        <v>99</v>
      </c>
      <c r="B53" t="s">
        <v>144</v>
      </c>
      <c r="C53" t="s">
        <v>145</v>
      </c>
      <c r="D53" t="s">
        <v>133</v>
      </c>
      <c r="E53" t="s">
        <v>39</v>
      </c>
      <c r="F53" t="s">
        <v>50</v>
      </c>
      <c r="G53" t="s">
        <v>26</v>
      </c>
      <c r="H53" t="s">
        <v>51</v>
      </c>
      <c r="I53" s="1">
        <v>44448</v>
      </c>
      <c r="J53">
        <v>150000</v>
      </c>
      <c r="K53">
        <v>3000</v>
      </c>
      <c r="L53">
        <v>750</v>
      </c>
      <c r="M53">
        <v>150</v>
      </c>
      <c r="N53">
        <v>3900</v>
      </c>
      <c r="O53">
        <v>1800000</v>
      </c>
      <c r="P53">
        <v>15000</v>
      </c>
      <c r="Q53">
        <v>1440000</v>
      </c>
      <c r="R53">
        <v>9900</v>
      </c>
      <c r="S53">
        <v>1464900</v>
      </c>
      <c r="T53">
        <v>24900</v>
      </c>
      <c r="U53">
        <v>1775100</v>
      </c>
    </row>
    <row r="54" spans="1:21" x14ac:dyDescent="0.35">
      <c r="A54">
        <v>104</v>
      </c>
      <c r="B54" t="s">
        <v>146</v>
      </c>
      <c r="C54" t="s">
        <v>147</v>
      </c>
      <c r="D54" t="s">
        <v>133</v>
      </c>
      <c r="E54" t="s">
        <v>39</v>
      </c>
      <c r="F54" t="s">
        <v>50</v>
      </c>
      <c r="G54" t="s">
        <v>26</v>
      </c>
      <c r="H54" t="s">
        <v>51</v>
      </c>
      <c r="I54" s="1">
        <v>44448</v>
      </c>
      <c r="J54">
        <v>150000</v>
      </c>
      <c r="K54">
        <v>3000</v>
      </c>
      <c r="L54">
        <v>750</v>
      </c>
      <c r="M54">
        <v>150</v>
      </c>
      <c r="N54">
        <v>3900</v>
      </c>
      <c r="O54">
        <v>1800000</v>
      </c>
      <c r="P54">
        <v>15000</v>
      </c>
      <c r="Q54">
        <v>1440000</v>
      </c>
      <c r="R54">
        <v>9900</v>
      </c>
      <c r="S54">
        <v>1464900</v>
      </c>
      <c r="T54">
        <v>24900</v>
      </c>
      <c r="U54">
        <v>1775100</v>
      </c>
    </row>
    <row r="55" spans="1:21" x14ac:dyDescent="0.35">
      <c r="A55">
        <v>127</v>
      </c>
      <c r="B55" t="s">
        <v>150</v>
      </c>
      <c r="C55" t="s">
        <v>151</v>
      </c>
      <c r="D55" t="s">
        <v>133</v>
      </c>
      <c r="E55" t="s">
        <v>24</v>
      </c>
      <c r="F55" t="s">
        <v>50</v>
      </c>
      <c r="G55" t="s">
        <v>35</v>
      </c>
      <c r="H55" t="s">
        <v>27</v>
      </c>
      <c r="I55" s="1">
        <v>44452</v>
      </c>
      <c r="J55">
        <v>200000</v>
      </c>
      <c r="K55">
        <v>4000</v>
      </c>
      <c r="L55">
        <v>1000</v>
      </c>
      <c r="M55">
        <v>200</v>
      </c>
      <c r="N55">
        <v>5200</v>
      </c>
      <c r="O55">
        <v>2400000</v>
      </c>
      <c r="P55">
        <v>20000</v>
      </c>
      <c r="Q55">
        <v>1920000</v>
      </c>
      <c r="R55">
        <v>13200</v>
      </c>
      <c r="S55">
        <v>1953200</v>
      </c>
      <c r="T55">
        <v>33200</v>
      </c>
      <c r="U55">
        <v>2366800</v>
      </c>
    </row>
    <row r="56" spans="1:21" x14ac:dyDescent="0.35">
      <c r="A56">
        <v>128</v>
      </c>
      <c r="B56" t="s">
        <v>152</v>
      </c>
      <c r="C56" t="s">
        <v>153</v>
      </c>
      <c r="D56" t="s">
        <v>133</v>
      </c>
      <c r="E56" t="s">
        <v>39</v>
      </c>
      <c r="F56" t="s">
        <v>50</v>
      </c>
      <c r="G56" t="s">
        <v>26</v>
      </c>
      <c r="H56" t="s">
        <v>51</v>
      </c>
      <c r="I56" s="1">
        <v>44453</v>
      </c>
      <c r="J56">
        <v>150000</v>
      </c>
      <c r="K56">
        <v>3000</v>
      </c>
      <c r="L56">
        <v>750</v>
      </c>
      <c r="M56">
        <v>150</v>
      </c>
      <c r="N56">
        <v>3900</v>
      </c>
      <c r="O56">
        <v>1800000</v>
      </c>
      <c r="P56">
        <v>15000</v>
      </c>
      <c r="Q56">
        <v>1440000</v>
      </c>
      <c r="R56">
        <v>9900</v>
      </c>
      <c r="S56">
        <v>1464900</v>
      </c>
      <c r="T56">
        <v>24900</v>
      </c>
      <c r="U56">
        <v>1775100</v>
      </c>
    </row>
    <row r="57" spans="1:21" x14ac:dyDescent="0.35">
      <c r="A57">
        <v>148</v>
      </c>
      <c r="B57" t="s">
        <v>154</v>
      </c>
      <c r="C57" t="s">
        <v>155</v>
      </c>
      <c r="D57" t="s">
        <v>133</v>
      </c>
      <c r="E57" t="s">
        <v>24</v>
      </c>
      <c r="F57" t="s">
        <v>61</v>
      </c>
      <c r="G57" t="s">
        <v>35</v>
      </c>
      <c r="H57" t="s">
        <v>31</v>
      </c>
      <c r="I57" s="1">
        <v>44460</v>
      </c>
      <c r="J57">
        <v>120000</v>
      </c>
      <c r="K57">
        <v>2400</v>
      </c>
      <c r="L57">
        <v>600</v>
      </c>
      <c r="M57">
        <v>120</v>
      </c>
      <c r="N57">
        <v>3120</v>
      </c>
      <c r="O57">
        <v>1440000</v>
      </c>
      <c r="P57">
        <v>12000</v>
      </c>
      <c r="Q57">
        <v>1152000</v>
      </c>
      <c r="R57">
        <v>7920</v>
      </c>
      <c r="S57">
        <v>1171920</v>
      </c>
      <c r="T57">
        <v>19920</v>
      </c>
      <c r="U57">
        <v>1420080</v>
      </c>
    </row>
    <row r="58" spans="1:21" x14ac:dyDescent="0.35">
      <c r="A58">
        <v>123</v>
      </c>
      <c r="B58" t="s">
        <v>166</v>
      </c>
      <c r="C58" t="s">
        <v>167</v>
      </c>
      <c r="D58" t="s">
        <v>158</v>
      </c>
      <c r="E58" t="s">
        <v>24</v>
      </c>
      <c r="F58" t="s">
        <v>81</v>
      </c>
      <c r="G58" t="s">
        <v>35</v>
      </c>
      <c r="H58" t="s">
        <v>31</v>
      </c>
      <c r="I58" s="1">
        <v>44452</v>
      </c>
      <c r="J58">
        <v>120000</v>
      </c>
      <c r="K58">
        <v>2400</v>
      </c>
      <c r="L58">
        <v>600</v>
      </c>
      <c r="M58">
        <v>120</v>
      </c>
      <c r="N58">
        <v>3120</v>
      </c>
      <c r="O58">
        <v>1440000</v>
      </c>
      <c r="P58">
        <v>12000</v>
      </c>
      <c r="Q58">
        <v>1152000</v>
      </c>
      <c r="R58">
        <v>7920</v>
      </c>
      <c r="S58">
        <v>1171920</v>
      </c>
      <c r="T58">
        <v>19920</v>
      </c>
      <c r="U58">
        <v>1420080</v>
      </c>
    </row>
    <row r="59" spans="1:21" x14ac:dyDescent="0.35">
      <c r="A59">
        <v>6</v>
      </c>
      <c r="B59" t="s">
        <v>156</v>
      </c>
      <c r="C59" t="s">
        <v>157</v>
      </c>
      <c r="D59" t="s">
        <v>158</v>
      </c>
      <c r="E59" t="s">
        <v>24</v>
      </c>
      <c r="F59" t="s">
        <v>159</v>
      </c>
      <c r="G59" t="s">
        <v>26</v>
      </c>
      <c r="H59" t="s">
        <v>51</v>
      </c>
      <c r="I59" s="1">
        <v>43684</v>
      </c>
      <c r="J59">
        <v>150000</v>
      </c>
      <c r="K59">
        <v>3000</v>
      </c>
      <c r="L59">
        <v>750</v>
      </c>
      <c r="M59">
        <v>150</v>
      </c>
      <c r="N59">
        <v>3900</v>
      </c>
      <c r="O59">
        <v>1800000</v>
      </c>
      <c r="P59">
        <v>15000</v>
      </c>
      <c r="Q59">
        <v>1440000</v>
      </c>
      <c r="R59">
        <v>9900</v>
      </c>
      <c r="S59">
        <v>1464900</v>
      </c>
      <c r="T59">
        <v>24900</v>
      </c>
      <c r="U59">
        <v>1775100</v>
      </c>
    </row>
    <row r="60" spans="1:21" x14ac:dyDescent="0.35">
      <c r="A60">
        <v>77</v>
      </c>
      <c r="B60" t="s">
        <v>164</v>
      </c>
      <c r="C60" t="s">
        <v>165</v>
      </c>
      <c r="D60" t="s">
        <v>158</v>
      </c>
      <c r="E60" t="s">
        <v>24</v>
      </c>
      <c r="F60" t="s">
        <v>74</v>
      </c>
      <c r="G60" t="s">
        <v>35</v>
      </c>
      <c r="H60" t="s">
        <v>31</v>
      </c>
      <c r="I60" s="1">
        <v>43542</v>
      </c>
      <c r="J60">
        <v>120000</v>
      </c>
      <c r="K60">
        <v>2400</v>
      </c>
      <c r="L60">
        <v>600</v>
      </c>
      <c r="M60">
        <v>120</v>
      </c>
      <c r="N60">
        <v>3120</v>
      </c>
      <c r="O60">
        <v>1440000</v>
      </c>
      <c r="P60">
        <v>12000</v>
      </c>
      <c r="Q60">
        <v>1152000</v>
      </c>
      <c r="R60">
        <v>7920</v>
      </c>
      <c r="S60">
        <v>1171920</v>
      </c>
      <c r="T60">
        <v>19920</v>
      </c>
      <c r="U60">
        <v>1420080</v>
      </c>
    </row>
    <row r="61" spans="1:21" x14ac:dyDescent="0.35">
      <c r="A61">
        <v>63</v>
      </c>
      <c r="B61" t="s">
        <v>160</v>
      </c>
      <c r="C61" t="s">
        <v>161</v>
      </c>
      <c r="D61" t="s">
        <v>158</v>
      </c>
      <c r="E61" t="s">
        <v>24</v>
      </c>
      <c r="F61" t="s">
        <v>50</v>
      </c>
      <c r="G61" t="s">
        <v>35</v>
      </c>
      <c r="H61" t="s">
        <v>51</v>
      </c>
      <c r="I61" s="1">
        <v>43542</v>
      </c>
      <c r="J61">
        <v>150000</v>
      </c>
      <c r="K61">
        <v>3000</v>
      </c>
      <c r="L61">
        <v>750</v>
      </c>
      <c r="M61">
        <v>150</v>
      </c>
      <c r="N61">
        <v>3900</v>
      </c>
      <c r="O61">
        <v>1800000</v>
      </c>
      <c r="P61">
        <v>15000</v>
      </c>
      <c r="Q61">
        <v>1440000</v>
      </c>
      <c r="R61">
        <v>9900</v>
      </c>
      <c r="S61">
        <v>1464900</v>
      </c>
      <c r="T61">
        <v>24900</v>
      </c>
      <c r="U61">
        <v>1775100</v>
      </c>
    </row>
    <row r="62" spans="1:21" x14ac:dyDescent="0.35">
      <c r="A62">
        <v>64</v>
      </c>
      <c r="B62" t="s">
        <v>162</v>
      </c>
      <c r="C62" t="s">
        <v>163</v>
      </c>
      <c r="D62" t="s">
        <v>158</v>
      </c>
      <c r="E62" t="s">
        <v>39</v>
      </c>
      <c r="F62" t="s">
        <v>50</v>
      </c>
      <c r="G62" t="s">
        <v>35</v>
      </c>
      <c r="H62" t="s">
        <v>51</v>
      </c>
      <c r="I62" s="1">
        <v>43542</v>
      </c>
      <c r="J62">
        <v>150000</v>
      </c>
      <c r="K62">
        <v>3000</v>
      </c>
      <c r="L62">
        <v>750</v>
      </c>
      <c r="M62">
        <v>150</v>
      </c>
      <c r="N62">
        <v>3900</v>
      </c>
      <c r="O62">
        <v>1800000</v>
      </c>
      <c r="P62">
        <v>15000</v>
      </c>
      <c r="Q62">
        <v>1440000</v>
      </c>
      <c r="R62">
        <v>9900</v>
      </c>
      <c r="S62">
        <v>1464900</v>
      </c>
      <c r="T62">
        <v>24900</v>
      </c>
      <c r="U62">
        <v>1775100</v>
      </c>
    </row>
    <row r="63" spans="1:21" x14ac:dyDescent="0.35">
      <c r="A63">
        <v>124</v>
      </c>
      <c r="B63" t="s">
        <v>168</v>
      </c>
      <c r="C63" t="s">
        <v>169</v>
      </c>
      <c r="D63" t="s">
        <v>158</v>
      </c>
      <c r="E63" t="s">
        <v>39</v>
      </c>
      <c r="F63" t="s">
        <v>61</v>
      </c>
      <c r="G63" t="s">
        <v>26</v>
      </c>
      <c r="H63" t="s">
        <v>31</v>
      </c>
      <c r="I63" s="1">
        <v>44452</v>
      </c>
      <c r="J63">
        <v>120000</v>
      </c>
      <c r="K63">
        <v>2400</v>
      </c>
      <c r="L63">
        <v>600</v>
      </c>
      <c r="M63">
        <v>120</v>
      </c>
      <c r="N63">
        <v>3120</v>
      </c>
      <c r="O63">
        <v>1440000</v>
      </c>
      <c r="P63">
        <v>12000</v>
      </c>
      <c r="Q63">
        <v>1152000</v>
      </c>
      <c r="R63">
        <v>7920</v>
      </c>
      <c r="S63">
        <v>1171920</v>
      </c>
      <c r="T63">
        <v>19920</v>
      </c>
      <c r="U63">
        <v>1420080</v>
      </c>
    </row>
    <row r="64" spans="1:21" x14ac:dyDescent="0.35">
      <c r="A64">
        <v>147</v>
      </c>
      <c r="B64" t="s">
        <v>170</v>
      </c>
      <c r="C64" t="s">
        <v>171</v>
      </c>
      <c r="D64" t="s">
        <v>158</v>
      </c>
      <c r="E64" t="s">
        <v>24</v>
      </c>
      <c r="F64" t="s">
        <v>61</v>
      </c>
      <c r="G64" t="s">
        <v>35</v>
      </c>
      <c r="H64" t="s">
        <v>31</v>
      </c>
      <c r="I64" s="1">
        <v>44459</v>
      </c>
      <c r="J64">
        <v>120000</v>
      </c>
      <c r="K64">
        <v>2400</v>
      </c>
      <c r="L64">
        <v>600</v>
      </c>
      <c r="M64">
        <v>120</v>
      </c>
      <c r="N64">
        <v>3120</v>
      </c>
      <c r="O64">
        <v>1440000</v>
      </c>
      <c r="P64">
        <v>12000</v>
      </c>
      <c r="Q64">
        <v>1152000</v>
      </c>
      <c r="R64">
        <v>7920</v>
      </c>
      <c r="S64">
        <v>1171920</v>
      </c>
      <c r="T64">
        <v>19920</v>
      </c>
      <c r="U64">
        <v>1420080</v>
      </c>
    </row>
    <row r="65" spans="1:21" x14ac:dyDescent="0.35">
      <c r="A65">
        <v>72</v>
      </c>
      <c r="B65" t="s">
        <v>179</v>
      </c>
      <c r="C65" t="s">
        <v>180</v>
      </c>
      <c r="D65" t="s">
        <v>174</v>
      </c>
      <c r="E65" t="s">
        <v>39</v>
      </c>
      <c r="F65" t="s">
        <v>81</v>
      </c>
      <c r="G65" t="s">
        <v>26</v>
      </c>
      <c r="H65" t="s">
        <v>51</v>
      </c>
      <c r="I65" s="1">
        <v>43542</v>
      </c>
      <c r="J65">
        <v>150000</v>
      </c>
      <c r="K65">
        <v>3000</v>
      </c>
      <c r="L65">
        <v>750</v>
      </c>
      <c r="M65">
        <v>150</v>
      </c>
      <c r="N65">
        <v>3900</v>
      </c>
      <c r="O65">
        <v>1800000</v>
      </c>
      <c r="P65">
        <v>15000</v>
      </c>
      <c r="Q65">
        <v>1440000</v>
      </c>
      <c r="R65">
        <v>9900</v>
      </c>
      <c r="S65">
        <v>1464900</v>
      </c>
      <c r="T65">
        <v>24900</v>
      </c>
      <c r="U65">
        <v>1775100</v>
      </c>
    </row>
    <row r="66" spans="1:21" x14ac:dyDescent="0.35">
      <c r="A66">
        <v>23</v>
      </c>
      <c r="B66" t="s">
        <v>175</v>
      </c>
      <c r="C66" t="s">
        <v>176</v>
      </c>
      <c r="D66" t="s">
        <v>174</v>
      </c>
      <c r="E66" t="s">
        <v>24</v>
      </c>
      <c r="F66" t="s">
        <v>25</v>
      </c>
      <c r="G66" t="s">
        <v>35</v>
      </c>
      <c r="H66" t="s">
        <v>31</v>
      </c>
      <c r="I66" s="1">
        <v>44455</v>
      </c>
      <c r="J66">
        <v>120000</v>
      </c>
      <c r="K66">
        <v>2400</v>
      </c>
      <c r="L66">
        <v>600</v>
      </c>
      <c r="M66">
        <v>120</v>
      </c>
      <c r="N66">
        <v>3120</v>
      </c>
      <c r="O66">
        <v>1440000</v>
      </c>
      <c r="P66">
        <v>12000</v>
      </c>
      <c r="Q66">
        <v>1152000</v>
      </c>
      <c r="R66">
        <v>7920</v>
      </c>
      <c r="S66">
        <v>1171920</v>
      </c>
      <c r="T66">
        <v>19920</v>
      </c>
      <c r="U66">
        <v>1420080</v>
      </c>
    </row>
    <row r="67" spans="1:21" x14ac:dyDescent="0.35">
      <c r="A67">
        <v>47</v>
      </c>
      <c r="B67" t="s">
        <v>177</v>
      </c>
      <c r="C67" t="s">
        <v>178</v>
      </c>
      <c r="D67" t="s">
        <v>174</v>
      </c>
      <c r="E67" t="s">
        <v>24</v>
      </c>
      <c r="F67" t="s">
        <v>25</v>
      </c>
      <c r="G67" t="s">
        <v>26</v>
      </c>
      <c r="H67" t="s">
        <v>36</v>
      </c>
      <c r="I67" s="1">
        <v>43956</v>
      </c>
      <c r="J67">
        <v>100000</v>
      </c>
      <c r="K67">
        <v>2000</v>
      </c>
      <c r="L67">
        <v>500</v>
      </c>
      <c r="M67">
        <v>100</v>
      </c>
      <c r="N67">
        <v>2600</v>
      </c>
      <c r="O67">
        <v>1200000</v>
      </c>
      <c r="P67">
        <v>10000</v>
      </c>
      <c r="Q67">
        <v>960000</v>
      </c>
      <c r="R67">
        <v>6600</v>
      </c>
      <c r="S67">
        <v>976600</v>
      </c>
      <c r="T67">
        <v>16600</v>
      </c>
      <c r="U67">
        <v>1183400</v>
      </c>
    </row>
    <row r="68" spans="1:21" x14ac:dyDescent="0.35">
      <c r="A68">
        <v>86</v>
      </c>
      <c r="B68" t="s">
        <v>181</v>
      </c>
      <c r="C68" t="s">
        <v>182</v>
      </c>
      <c r="D68" t="s">
        <v>174</v>
      </c>
      <c r="E68" t="s">
        <v>24</v>
      </c>
      <c r="F68" t="s">
        <v>25</v>
      </c>
      <c r="G68" t="s">
        <v>35</v>
      </c>
      <c r="H68" t="s">
        <v>27</v>
      </c>
      <c r="I68" s="1">
        <v>43542</v>
      </c>
      <c r="J68">
        <v>200000</v>
      </c>
      <c r="K68">
        <v>4000</v>
      </c>
      <c r="L68">
        <v>1000</v>
      </c>
      <c r="M68">
        <v>200</v>
      </c>
      <c r="N68">
        <v>5200</v>
      </c>
      <c r="O68">
        <v>2400000</v>
      </c>
      <c r="P68">
        <v>20000</v>
      </c>
      <c r="Q68">
        <v>1920000</v>
      </c>
      <c r="R68">
        <v>13200</v>
      </c>
      <c r="S68">
        <v>1953200</v>
      </c>
      <c r="T68">
        <v>33200</v>
      </c>
      <c r="U68">
        <v>2366800</v>
      </c>
    </row>
    <row r="69" spans="1:21" x14ac:dyDescent="0.35">
      <c r="A69">
        <v>1</v>
      </c>
      <c r="B69" t="s">
        <v>172</v>
      </c>
      <c r="C69" t="s">
        <v>173</v>
      </c>
      <c r="D69" t="s">
        <v>174</v>
      </c>
      <c r="E69" t="s">
        <v>24</v>
      </c>
      <c r="F69" t="s">
        <v>50</v>
      </c>
      <c r="G69" t="s">
        <v>35</v>
      </c>
      <c r="H69" t="s">
        <v>36</v>
      </c>
      <c r="I69" s="1">
        <v>44197</v>
      </c>
      <c r="J69">
        <v>100000</v>
      </c>
      <c r="K69">
        <v>2000</v>
      </c>
      <c r="L69">
        <v>500</v>
      </c>
      <c r="M69">
        <v>100</v>
      </c>
      <c r="N69">
        <v>2600</v>
      </c>
      <c r="O69">
        <v>1200000</v>
      </c>
      <c r="P69">
        <v>10000</v>
      </c>
      <c r="Q69">
        <v>960000</v>
      </c>
      <c r="R69">
        <v>6600</v>
      </c>
      <c r="S69">
        <v>976600</v>
      </c>
      <c r="T69">
        <v>16600</v>
      </c>
      <c r="U69">
        <v>1183400</v>
      </c>
    </row>
    <row r="70" spans="1:21" x14ac:dyDescent="0.35">
      <c r="A70">
        <v>105</v>
      </c>
      <c r="B70" t="s">
        <v>183</v>
      </c>
      <c r="C70" t="s">
        <v>184</v>
      </c>
      <c r="D70" t="s">
        <v>174</v>
      </c>
      <c r="E70" t="s">
        <v>39</v>
      </c>
      <c r="F70" t="s">
        <v>50</v>
      </c>
      <c r="G70" t="s">
        <v>26</v>
      </c>
      <c r="H70" t="s">
        <v>51</v>
      </c>
      <c r="I70" s="1">
        <v>44448</v>
      </c>
      <c r="J70">
        <v>150000</v>
      </c>
      <c r="K70">
        <v>3000</v>
      </c>
      <c r="L70">
        <v>750</v>
      </c>
      <c r="M70">
        <v>150</v>
      </c>
      <c r="N70">
        <v>3900</v>
      </c>
      <c r="O70">
        <v>1800000</v>
      </c>
      <c r="P70">
        <v>15000</v>
      </c>
      <c r="Q70">
        <v>1440000</v>
      </c>
      <c r="R70">
        <v>9900</v>
      </c>
      <c r="S70">
        <v>1464900</v>
      </c>
      <c r="T70">
        <v>24900</v>
      </c>
      <c r="U70">
        <v>1775100</v>
      </c>
    </row>
    <row r="71" spans="1:21" x14ac:dyDescent="0.35">
      <c r="A71">
        <v>142</v>
      </c>
      <c r="B71" t="s">
        <v>185</v>
      </c>
      <c r="C71" t="s">
        <v>186</v>
      </c>
      <c r="D71" t="s">
        <v>174</v>
      </c>
      <c r="E71" t="s">
        <v>24</v>
      </c>
      <c r="F71" t="s">
        <v>50</v>
      </c>
      <c r="G71" t="s">
        <v>26</v>
      </c>
      <c r="H71" t="s">
        <v>31</v>
      </c>
      <c r="I71" s="1">
        <v>44457</v>
      </c>
      <c r="J71">
        <v>120000</v>
      </c>
      <c r="K71">
        <v>2400</v>
      </c>
      <c r="L71">
        <v>600</v>
      </c>
      <c r="M71">
        <v>120</v>
      </c>
      <c r="N71">
        <v>3120</v>
      </c>
      <c r="O71">
        <v>1440000</v>
      </c>
      <c r="P71">
        <v>12000</v>
      </c>
      <c r="Q71">
        <v>1152000</v>
      </c>
      <c r="R71">
        <v>7920</v>
      </c>
      <c r="S71">
        <v>1171920</v>
      </c>
      <c r="T71">
        <v>19920</v>
      </c>
      <c r="U71">
        <v>1420080</v>
      </c>
    </row>
    <row r="72" spans="1:21" x14ac:dyDescent="0.35">
      <c r="A72">
        <v>45</v>
      </c>
      <c r="B72" t="s">
        <v>196</v>
      </c>
      <c r="C72" t="s">
        <v>197</v>
      </c>
      <c r="D72" t="s">
        <v>189</v>
      </c>
      <c r="E72" t="s">
        <v>24</v>
      </c>
      <c r="F72" t="s">
        <v>81</v>
      </c>
      <c r="G72" t="s">
        <v>26</v>
      </c>
      <c r="H72" t="s">
        <v>36</v>
      </c>
      <c r="I72" s="1">
        <v>43956</v>
      </c>
      <c r="J72">
        <v>100000</v>
      </c>
      <c r="K72">
        <v>2000</v>
      </c>
      <c r="L72">
        <v>500</v>
      </c>
      <c r="M72">
        <v>100</v>
      </c>
      <c r="N72">
        <v>2600</v>
      </c>
      <c r="O72">
        <v>1200000</v>
      </c>
      <c r="P72">
        <v>10000</v>
      </c>
      <c r="Q72">
        <v>960000</v>
      </c>
      <c r="R72">
        <v>6600</v>
      </c>
      <c r="S72">
        <v>976600</v>
      </c>
      <c r="T72">
        <v>16600</v>
      </c>
      <c r="U72">
        <v>1183400</v>
      </c>
    </row>
    <row r="73" spans="1:21" x14ac:dyDescent="0.35">
      <c r="A73">
        <v>74</v>
      </c>
      <c r="B73" t="s">
        <v>200</v>
      </c>
      <c r="C73" t="s">
        <v>201</v>
      </c>
      <c r="D73" t="s">
        <v>189</v>
      </c>
      <c r="E73" t="s">
        <v>39</v>
      </c>
      <c r="F73" t="s">
        <v>81</v>
      </c>
      <c r="G73" t="s">
        <v>26</v>
      </c>
      <c r="H73" t="s">
        <v>51</v>
      </c>
      <c r="I73" s="1">
        <v>43542</v>
      </c>
      <c r="J73">
        <v>150000</v>
      </c>
      <c r="K73">
        <v>3000</v>
      </c>
      <c r="L73">
        <v>750</v>
      </c>
      <c r="M73">
        <v>150</v>
      </c>
      <c r="N73">
        <v>3900</v>
      </c>
      <c r="O73">
        <v>1800000</v>
      </c>
      <c r="P73">
        <v>15000</v>
      </c>
      <c r="Q73">
        <v>1440000</v>
      </c>
      <c r="R73">
        <v>9900</v>
      </c>
      <c r="S73">
        <v>1464900</v>
      </c>
      <c r="T73">
        <v>24900</v>
      </c>
      <c r="U73">
        <v>1775100</v>
      </c>
    </row>
    <row r="74" spans="1:21" x14ac:dyDescent="0.35">
      <c r="A74">
        <v>57</v>
      </c>
      <c r="B74" t="s">
        <v>198</v>
      </c>
      <c r="C74" t="s">
        <v>199</v>
      </c>
      <c r="D74" t="s">
        <v>189</v>
      </c>
      <c r="E74" t="s">
        <v>39</v>
      </c>
      <c r="F74" t="s">
        <v>34</v>
      </c>
      <c r="G74" t="s">
        <v>35</v>
      </c>
      <c r="H74" t="s">
        <v>36</v>
      </c>
      <c r="I74" s="1">
        <v>43542</v>
      </c>
      <c r="J74">
        <v>100000</v>
      </c>
      <c r="K74">
        <v>2000</v>
      </c>
      <c r="L74">
        <v>500</v>
      </c>
      <c r="M74">
        <v>100</v>
      </c>
      <c r="N74">
        <v>2600</v>
      </c>
      <c r="O74">
        <v>1200000</v>
      </c>
      <c r="P74">
        <v>10000</v>
      </c>
      <c r="Q74">
        <v>960000</v>
      </c>
      <c r="R74">
        <v>6600</v>
      </c>
      <c r="S74">
        <v>976600</v>
      </c>
      <c r="T74">
        <v>16600</v>
      </c>
      <c r="U74">
        <v>1183400</v>
      </c>
    </row>
    <row r="75" spans="1:21" x14ac:dyDescent="0.35">
      <c r="A75">
        <v>34</v>
      </c>
      <c r="B75" t="s">
        <v>194</v>
      </c>
      <c r="C75" t="s">
        <v>195</v>
      </c>
      <c r="D75" t="s">
        <v>189</v>
      </c>
      <c r="E75" t="s">
        <v>24</v>
      </c>
      <c r="F75" t="s">
        <v>74</v>
      </c>
      <c r="G75" t="s">
        <v>26</v>
      </c>
      <c r="H75" t="s">
        <v>31</v>
      </c>
      <c r="I75" s="1">
        <v>43437</v>
      </c>
      <c r="J75">
        <v>120000</v>
      </c>
      <c r="K75">
        <v>2400</v>
      </c>
      <c r="L75">
        <v>600</v>
      </c>
      <c r="M75">
        <v>120</v>
      </c>
      <c r="N75">
        <v>3120</v>
      </c>
      <c r="O75">
        <v>1440000</v>
      </c>
      <c r="P75">
        <v>12000</v>
      </c>
      <c r="Q75">
        <v>1152000</v>
      </c>
      <c r="R75">
        <v>7920</v>
      </c>
      <c r="S75">
        <v>1171920</v>
      </c>
      <c r="T75">
        <v>19920</v>
      </c>
      <c r="U75">
        <v>1420080</v>
      </c>
    </row>
    <row r="76" spans="1:21" x14ac:dyDescent="0.35">
      <c r="A76">
        <v>115</v>
      </c>
      <c r="B76" t="s">
        <v>208</v>
      </c>
      <c r="C76" t="s">
        <v>209</v>
      </c>
      <c r="D76" t="s">
        <v>189</v>
      </c>
      <c r="E76" t="s">
        <v>24</v>
      </c>
      <c r="F76" t="s">
        <v>74</v>
      </c>
      <c r="G76" t="s">
        <v>35</v>
      </c>
      <c r="H76" t="s">
        <v>36</v>
      </c>
      <c r="I76" s="1">
        <v>44451</v>
      </c>
      <c r="J76">
        <v>100000</v>
      </c>
      <c r="K76">
        <v>2000</v>
      </c>
      <c r="L76">
        <v>500</v>
      </c>
      <c r="M76">
        <v>100</v>
      </c>
      <c r="N76">
        <v>2600</v>
      </c>
      <c r="O76">
        <v>1200000</v>
      </c>
      <c r="P76">
        <v>10000</v>
      </c>
      <c r="Q76">
        <v>960000</v>
      </c>
      <c r="R76">
        <v>6600</v>
      </c>
      <c r="S76">
        <v>976600</v>
      </c>
      <c r="T76">
        <v>16600</v>
      </c>
      <c r="U76">
        <v>1183400</v>
      </c>
    </row>
    <row r="77" spans="1:21" x14ac:dyDescent="0.35">
      <c r="A77">
        <v>132</v>
      </c>
      <c r="B77" t="s">
        <v>210</v>
      </c>
      <c r="C77" t="s">
        <v>211</v>
      </c>
      <c r="D77" t="s">
        <v>189</v>
      </c>
      <c r="E77" t="s">
        <v>24</v>
      </c>
      <c r="F77" t="s">
        <v>74</v>
      </c>
      <c r="G77" t="s">
        <v>26</v>
      </c>
      <c r="H77" t="s">
        <v>36</v>
      </c>
      <c r="I77" s="1">
        <v>44453</v>
      </c>
      <c r="J77">
        <v>100000</v>
      </c>
      <c r="K77">
        <v>2000</v>
      </c>
      <c r="L77">
        <v>500</v>
      </c>
      <c r="M77">
        <v>100</v>
      </c>
      <c r="N77">
        <v>2600</v>
      </c>
      <c r="O77">
        <v>1200000</v>
      </c>
      <c r="P77">
        <v>10000</v>
      </c>
      <c r="Q77">
        <v>960000</v>
      </c>
      <c r="R77">
        <v>6600</v>
      </c>
      <c r="S77">
        <v>976600</v>
      </c>
      <c r="T77">
        <v>16600</v>
      </c>
      <c r="U77">
        <v>1183400</v>
      </c>
    </row>
    <row r="78" spans="1:21" x14ac:dyDescent="0.35">
      <c r="A78">
        <v>26</v>
      </c>
      <c r="B78" t="s">
        <v>192</v>
      </c>
      <c r="C78" t="s">
        <v>193</v>
      </c>
      <c r="D78" t="s">
        <v>189</v>
      </c>
      <c r="E78" t="s">
        <v>39</v>
      </c>
      <c r="F78" t="s">
        <v>25</v>
      </c>
      <c r="G78" t="s">
        <v>35</v>
      </c>
      <c r="H78" t="s">
        <v>31</v>
      </c>
      <c r="I78" s="1">
        <v>43437</v>
      </c>
      <c r="J78">
        <v>120000</v>
      </c>
      <c r="K78">
        <v>2400</v>
      </c>
      <c r="L78">
        <v>600</v>
      </c>
      <c r="M78">
        <v>120</v>
      </c>
      <c r="N78">
        <v>3120</v>
      </c>
      <c r="O78">
        <v>1440000</v>
      </c>
      <c r="P78">
        <v>12000</v>
      </c>
      <c r="Q78">
        <v>1152000</v>
      </c>
      <c r="R78">
        <v>7920</v>
      </c>
      <c r="S78">
        <v>1171920</v>
      </c>
      <c r="T78">
        <v>19920</v>
      </c>
      <c r="U78">
        <v>1420080</v>
      </c>
    </row>
    <row r="79" spans="1:21" x14ac:dyDescent="0.35">
      <c r="A79">
        <v>84</v>
      </c>
      <c r="B79" t="s">
        <v>202</v>
      </c>
      <c r="C79" t="s">
        <v>203</v>
      </c>
      <c r="D79" t="s">
        <v>189</v>
      </c>
      <c r="E79" t="s">
        <v>24</v>
      </c>
      <c r="F79" t="s">
        <v>25</v>
      </c>
      <c r="G79" t="s">
        <v>35</v>
      </c>
      <c r="H79" t="s">
        <v>120</v>
      </c>
      <c r="I79" s="1">
        <v>43542</v>
      </c>
      <c r="J79">
        <v>125000</v>
      </c>
      <c r="K79">
        <v>2500</v>
      </c>
      <c r="L79">
        <v>625</v>
      </c>
      <c r="M79">
        <v>125</v>
      </c>
      <c r="N79">
        <v>3250</v>
      </c>
      <c r="O79">
        <v>1500000</v>
      </c>
      <c r="P79">
        <v>12500</v>
      </c>
      <c r="Q79">
        <v>1200000</v>
      </c>
      <c r="R79">
        <v>8250</v>
      </c>
      <c r="S79">
        <v>1220750</v>
      </c>
      <c r="T79">
        <v>20750</v>
      </c>
      <c r="U79">
        <v>1479250</v>
      </c>
    </row>
    <row r="80" spans="1:21" x14ac:dyDescent="0.35">
      <c r="A80">
        <v>10</v>
      </c>
      <c r="B80" t="s">
        <v>187</v>
      </c>
      <c r="C80" t="s">
        <v>188</v>
      </c>
      <c r="D80" t="s">
        <v>189</v>
      </c>
      <c r="E80" t="s">
        <v>24</v>
      </c>
      <c r="F80" t="s">
        <v>50</v>
      </c>
      <c r="G80" t="s">
        <v>35</v>
      </c>
      <c r="H80" t="s">
        <v>27</v>
      </c>
      <c r="I80" s="1">
        <v>44442</v>
      </c>
      <c r="J80">
        <v>130000</v>
      </c>
      <c r="K80">
        <v>2600</v>
      </c>
      <c r="L80">
        <v>650</v>
      </c>
      <c r="M80">
        <v>130</v>
      </c>
      <c r="N80">
        <v>3380</v>
      </c>
      <c r="O80">
        <v>1560000</v>
      </c>
      <c r="P80">
        <v>13000</v>
      </c>
      <c r="Q80">
        <v>1248000</v>
      </c>
      <c r="R80">
        <v>8580</v>
      </c>
      <c r="S80">
        <v>1269580</v>
      </c>
      <c r="T80">
        <v>21580</v>
      </c>
      <c r="U80">
        <v>1538420</v>
      </c>
    </row>
    <row r="81" spans="1:21" x14ac:dyDescent="0.35">
      <c r="A81">
        <v>109</v>
      </c>
      <c r="B81" t="s">
        <v>204</v>
      </c>
      <c r="C81" t="s">
        <v>205</v>
      </c>
      <c r="D81" t="s">
        <v>189</v>
      </c>
      <c r="E81" t="s">
        <v>39</v>
      </c>
      <c r="F81" t="s">
        <v>50</v>
      </c>
      <c r="G81" t="s">
        <v>35</v>
      </c>
      <c r="H81" t="s">
        <v>51</v>
      </c>
      <c r="I81" s="1">
        <v>44449</v>
      </c>
      <c r="J81">
        <v>150000</v>
      </c>
      <c r="K81">
        <v>3000</v>
      </c>
      <c r="L81">
        <v>750</v>
      </c>
      <c r="M81">
        <v>150</v>
      </c>
      <c r="N81">
        <v>3900</v>
      </c>
      <c r="O81">
        <v>1800000</v>
      </c>
      <c r="P81">
        <v>15000</v>
      </c>
      <c r="Q81">
        <v>1440000</v>
      </c>
      <c r="R81">
        <v>9900</v>
      </c>
      <c r="S81">
        <v>1464900</v>
      </c>
      <c r="T81">
        <v>24900</v>
      </c>
      <c r="U81">
        <v>1775100</v>
      </c>
    </row>
    <row r="82" spans="1:21" x14ac:dyDescent="0.35">
      <c r="A82">
        <v>110</v>
      </c>
      <c r="B82" t="s">
        <v>206</v>
      </c>
      <c r="C82" t="s">
        <v>207</v>
      </c>
      <c r="D82" t="s">
        <v>189</v>
      </c>
      <c r="E82" t="s">
        <v>39</v>
      </c>
      <c r="F82" t="s">
        <v>50</v>
      </c>
      <c r="G82" t="s">
        <v>35</v>
      </c>
      <c r="H82" t="s">
        <v>51</v>
      </c>
      <c r="I82" s="1">
        <v>44450</v>
      </c>
      <c r="J82">
        <v>150000</v>
      </c>
      <c r="K82">
        <v>3000</v>
      </c>
      <c r="L82">
        <v>750</v>
      </c>
      <c r="M82">
        <v>150</v>
      </c>
      <c r="N82">
        <v>3900</v>
      </c>
      <c r="O82">
        <v>1800000</v>
      </c>
      <c r="P82">
        <v>15000</v>
      </c>
      <c r="Q82">
        <v>1440000</v>
      </c>
      <c r="R82">
        <v>9900</v>
      </c>
      <c r="S82">
        <v>1464900</v>
      </c>
      <c r="T82">
        <v>24900</v>
      </c>
      <c r="U82">
        <v>1775100</v>
      </c>
    </row>
    <row r="83" spans="1:21" x14ac:dyDescent="0.35">
      <c r="A83">
        <v>19</v>
      </c>
      <c r="B83" t="s">
        <v>190</v>
      </c>
      <c r="C83" t="s">
        <v>191</v>
      </c>
      <c r="D83" t="s">
        <v>189</v>
      </c>
      <c r="E83" t="s">
        <v>24</v>
      </c>
      <c r="F83" t="s">
        <v>61</v>
      </c>
      <c r="G83" t="s">
        <v>35</v>
      </c>
      <c r="H83" t="s">
        <v>31</v>
      </c>
      <c r="I83" s="1">
        <v>44451</v>
      </c>
      <c r="J83">
        <v>120000</v>
      </c>
      <c r="K83">
        <v>2400</v>
      </c>
      <c r="L83">
        <v>600</v>
      </c>
      <c r="M83">
        <v>120</v>
      </c>
      <c r="N83">
        <v>3120</v>
      </c>
      <c r="O83">
        <v>1440000</v>
      </c>
      <c r="P83">
        <v>12000</v>
      </c>
      <c r="Q83">
        <v>1152000</v>
      </c>
      <c r="R83">
        <v>7920</v>
      </c>
      <c r="S83">
        <v>1171920</v>
      </c>
      <c r="T83">
        <v>19920</v>
      </c>
      <c r="U83">
        <v>1420080</v>
      </c>
    </row>
    <row r="84" spans="1:21" x14ac:dyDescent="0.35">
      <c r="A84">
        <v>149</v>
      </c>
      <c r="B84" t="s">
        <v>233</v>
      </c>
      <c r="C84" t="s">
        <v>234</v>
      </c>
      <c r="D84" t="s">
        <v>214</v>
      </c>
      <c r="E84" t="s">
        <v>24</v>
      </c>
      <c r="F84" t="s">
        <v>159</v>
      </c>
      <c r="G84" t="s">
        <v>26</v>
      </c>
      <c r="H84" t="s">
        <v>31</v>
      </c>
      <c r="I84" s="1">
        <v>44460</v>
      </c>
      <c r="J84">
        <v>120000</v>
      </c>
      <c r="K84">
        <v>2400</v>
      </c>
      <c r="L84">
        <v>600</v>
      </c>
      <c r="M84">
        <v>120</v>
      </c>
      <c r="N84">
        <v>3120</v>
      </c>
      <c r="O84">
        <v>1440000</v>
      </c>
      <c r="P84">
        <v>12000</v>
      </c>
      <c r="Q84">
        <v>1152000</v>
      </c>
      <c r="R84">
        <v>7920</v>
      </c>
      <c r="S84">
        <v>1171920</v>
      </c>
      <c r="T84">
        <v>19920</v>
      </c>
      <c r="U84">
        <v>1420080</v>
      </c>
    </row>
    <row r="85" spans="1:21" x14ac:dyDescent="0.35">
      <c r="A85">
        <v>58</v>
      </c>
      <c r="B85" t="s">
        <v>217</v>
      </c>
      <c r="C85" t="s">
        <v>218</v>
      </c>
      <c r="D85" t="s">
        <v>214</v>
      </c>
      <c r="E85" t="s">
        <v>39</v>
      </c>
      <c r="F85" t="s">
        <v>34</v>
      </c>
      <c r="G85" t="s">
        <v>35</v>
      </c>
      <c r="H85" t="s">
        <v>36</v>
      </c>
      <c r="I85" s="1">
        <v>43542</v>
      </c>
      <c r="J85">
        <v>100000</v>
      </c>
      <c r="K85">
        <v>2000</v>
      </c>
      <c r="L85">
        <v>500</v>
      </c>
      <c r="M85">
        <v>100</v>
      </c>
      <c r="N85">
        <v>2600</v>
      </c>
      <c r="O85">
        <v>1200000</v>
      </c>
      <c r="P85">
        <v>10000</v>
      </c>
      <c r="Q85">
        <v>960000</v>
      </c>
      <c r="R85">
        <v>6600</v>
      </c>
      <c r="S85">
        <v>976600</v>
      </c>
      <c r="T85">
        <v>16600</v>
      </c>
      <c r="U85">
        <v>1183400</v>
      </c>
    </row>
    <row r="86" spans="1:21" x14ac:dyDescent="0.35">
      <c r="A86">
        <v>122</v>
      </c>
      <c r="B86" t="s">
        <v>229</v>
      </c>
      <c r="C86" t="s">
        <v>230</v>
      </c>
      <c r="D86" t="s">
        <v>214</v>
      </c>
      <c r="E86" t="s">
        <v>39</v>
      </c>
      <c r="F86" t="s">
        <v>34</v>
      </c>
      <c r="G86" t="s">
        <v>26</v>
      </c>
      <c r="H86" t="s">
        <v>120</v>
      </c>
      <c r="I86" s="1">
        <v>44452</v>
      </c>
      <c r="J86">
        <v>125000</v>
      </c>
      <c r="K86">
        <v>2500</v>
      </c>
      <c r="L86">
        <v>625</v>
      </c>
      <c r="M86">
        <v>125</v>
      </c>
      <c r="N86">
        <v>3250</v>
      </c>
      <c r="O86">
        <v>1500000</v>
      </c>
      <c r="P86">
        <v>12500</v>
      </c>
      <c r="Q86">
        <v>1200000</v>
      </c>
      <c r="R86">
        <v>8250</v>
      </c>
      <c r="S86">
        <v>1220750</v>
      </c>
      <c r="T86">
        <v>20750</v>
      </c>
      <c r="U86">
        <v>1479250</v>
      </c>
    </row>
    <row r="87" spans="1:21" x14ac:dyDescent="0.35">
      <c r="A87">
        <v>33</v>
      </c>
      <c r="B87" t="s">
        <v>215</v>
      </c>
      <c r="C87" t="s">
        <v>216</v>
      </c>
      <c r="D87" t="s">
        <v>214</v>
      </c>
      <c r="E87" t="s">
        <v>24</v>
      </c>
      <c r="F87" t="s">
        <v>25</v>
      </c>
      <c r="G87" t="s">
        <v>26</v>
      </c>
      <c r="H87" t="s">
        <v>31</v>
      </c>
      <c r="I87" s="1">
        <v>43437</v>
      </c>
      <c r="J87">
        <v>120000</v>
      </c>
      <c r="K87">
        <v>2400</v>
      </c>
      <c r="L87">
        <v>600</v>
      </c>
      <c r="M87">
        <v>120</v>
      </c>
      <c r="N87">
        <v>3120</v>
      </c>
      <c r="O87">
        <v>1440000</v>
      </c>
      <c r="P87">
        <v>12000</v>
      </c>
      <c r="Q87">
        <v>1152000</v>
      </c>
      <c r="R87">
        <v>7920</v>
      </c>
      <c r="S87">
        <v>1171920</v>
      </c>
      <c r="T87">
        <v>19920</v>
      </c>
      <c r="U87">
        <v>1420080</v>
      </c>
    </row>
    <row r="88" spans="1:21" x14ac:dyDescent="0.35">
      <c r="A88">
        <v>83</v>
      </c>
      <c r="B88" t="s">
        <v>221</v>
      </c>
      <c r="C88" t="s">
        <v>222</v>
      </c>
      <c r="D88" t="s">
        <v>214</v>
      </c>
      <c r="E88" t="s">
        <v>24</v>
      </c>
      <c r="F88" t="s">
        <v>25</v>
      </c>
      <c r="G88" t="s">
        <v>35</v>
      </c>
      <c r="H88" t="s">
        <v>120</v>
      </c>
      <c r="I88" s="1">
        <v>43542</v>
      </c>
      <c r="J88">
        <v>125000</v>
      </c>
      <c r="K88">
        <v>2500</v>
      </c>
      <c r="L88">
        <v>625</v>
      </c>
      <c r="M88">
        <v>125</v>
      </c>
      <c r="N88">
        <v>3250</v>
      </c>
      <c r="O88">
        <v>1500000</v>
      </c>
      <c r="P88">
        <v>12500</v>
      </c>
      <c r="Q88">
        <v>1200000</v>
      </c>
      <c r="R88">
        <v>8250</v>
      </c>
      <c r="S88">
        <v>1220750</v>
      </c>
      <c r="T88">
        <v>20750</v>
      </c>
      <c r="U88">
        <v>1479250</v>
      </c>
    </row>
    <row r="89" spans="1:21" x14ac:dyDescent="0.35">
      <c r="A89">
        <v>68</v>
      </c>
      <c r="B89" t="s">
        <v>219</v>
      </c>
      <c r="C89" t="s">
        <v>220</v>
      </c>
      <c r="D89" t="s">
        <v>214</v>
      </c>
      <c r="E89" t="s">
        <v>39</v>
      </c>
      <c r="F89" t="s">
        <v>50</v>
      </c>
      <c r="G89" t="s">
        <v>35</v>
      </c>
      <c r="H89" t="s">
        <v>51</v>
      </c>
      <c r="I89" s="1">
        <v>43542</v>
      </c>
      <c r="J89">
        <v>150000</v>
      </c>
      <c r="K89">
        <v>3000</v>
      </c>
      <c r="L89">
        <v>750</v>
      </c>
      <c r="M89">
        <v>150</v>
      </c>
      <c r="N89">
        <v>3900</v>
      </c>
      <c r="O89">
        <v>1800000</v>
      </c>
      <c r="P89">
        <v>15000</v>
      </c>
      <c r="Q89">
        <v>1440000</v>
      </c>
      <c r="R89">
        <v>9900</v>
      </c>
      <c r="S89">
        <v>1464900</v>
      </c>
      <c r="T89">
        <v>24900</v>
      </c>
      <c r="U89">
        <v>1775100</v>
      </c>
    </row>
    <row r="90" spans="1:21" x14ac:dyDescent="0.35">
      <c r="A90">
        <v>103</v>
      </c>
      <c r="B90" t="s">
        <v>225</v>
      </c>
      <c r="C90" t="s">
        <v>226</v>
      </c>
      <c r="D90" t="s">
        <v>214</v>
      </c>
      <c r="E90" t="s">
        <v>39</v>
      </c>
      <c r="F90" t="s">
        <v>50</v>
      </c>
      <c r="G90" t="s">
        <v>26</v>
      </c>
      <c r="H90" t="s">
        <v>51</v>
      </c>
      <c r="I90" s="1">
        <v>44448</v>
      </c>
      <c r="J90">
        <v>150000</v>
      </c>
      <c r="K90">
        <v>3000</v>
      </c>
      <c r="L90">
        <v>750</v>
      </c>
      <c r="M90">
        <v>150</v>
      </c>
      <c r="N90">
        <v>3900</v>
      </c>
      <c r="O90">
        <v>1800000</v>
      </c>
      <c r="P90">
        <v>15000</v>
      </c>
      <c r="Q90">
        <v>1440000</v>
      </c>
      <c r="R90">
        <v>9900</v>
      </c>
      <c r="S90">
        <v>1464900</v>
      </c>
      <c r="T90">
        <v>24900</v>
      </c>
      <c r="U90">
        <v>1775100</v>
      </c>
    </row>
    <row r="91" spans="1:21" x14ac:dyDescent="0.35">
      <c r="A91">
        <v>129</v>
      </c>
      <c r="B91" t="s">
        <v>231</v>
      </c>
      <c r="C91" t="s">
        <v>232</v>
      </c>
      <c r="D91" t="s">
        <v>214</v>
      </c>
      <c r="E91" t="s">
        <v>24</v>
      </c>
      <c r="F91" t="s">
        <v>50</v>
      </c>
      <c r="G91" t="s">
        <v>26</v>
      </c>
      <c r="H91" t="s">
        <v>51</v>
      </c>
      <c r="I91" s="1">
        <v>44453</v>
      </c>
      <c r="J91">
        <v>150000</v>
      </c>
      <c r="K91">
        <v>3000</v>
      </c>
      <c r="L91">
        <v>750</v>
      </c>
      <c r="M91">
        <v>150</v>
      </c>
      <c r="N91">
        <v>3900</v>
      </c>
      <c r="O91">
        <v>1800000</v>
      </c>
      <c r="P91">
        <v>15000</v>
      </c>
      <c r="Q91">
        <v>1440000</v>
      </c>
      <c r="R91">
        <v>9900</v>
      </c>
      <c r="S91">
        <v>1464900</v>
      </c>
      <c r="T91">
        <v>24900</v>
      </c>
      <c r="U91">
        <v>1775100</v>
      </c>
    </row>
    <row r="92" spans="1:21" x14ac:dyDescent="0.35">
      <c r="A92">
        <v>98</v>
      </c>
      <c r="B92" t="s">
        <v>223</v>
      </c>
      <c r="C92" t="s">
        <v>224</v>
      </c>
      <c r="D92" t="s">
        <v>214</v>
      </c>
      <c r="E92" t="s">
        <v>39</v>
      </c>
      <c r="F92" t="s">
        <v>30</v>
      </c>
      <c r="G92" t="s">
        <v>26</v>
      </c>
      <c r="H92" t="s">
        <v>36</v>
      </c>
      <c r="I92" s="1">
        <v>44448</v>
      </c>
      <c r="J92">
        <v>100000</v>
      </c>
      <c r="K92">
        <v>2000</v>
      </c>
      <c r="L92">
        <v>500</v>
      </c>
      <c r="M92">
        <v>100</v>
      </c>
      <c r="N92">
        <v>2600</v>
      </c>
      <c r="O92">
        <v>1200000</v>
      </c>
      <c r="P92">
        <v>10000</v>
      </c>
      <c r="Q92">
        <v>960000</v>
      </c>
      <c r="R92">
        <v>6600</v>
      </c>
      <c r="S92">
        <v>976600</v>
      </c>
      <c r="T92">
        <v>16600</v>
      </c>
      <c r="U92">
        <v>1183400</v>
      </c>
    </row>
    <row r="93" spans="1:21" x14ac:dyDescent="0.35">
      <c r="A93">
        <v>5</v>
      </c>
      <c r="B93" t="s">
        <v>212</v>
      </c>
      <c r="C93" t="s">
        <v>213</v>
      </c>
      <c r="D93" t="s">
        <v>214</v>
      </c>
      <c r="E93" t="s">
        <v>39</v>
      </c>
      <c r="F93" t="s">
        <v>61</v>
      </c>
      <c r="G93" t="s">
        <v>35</v>
      </c>
      <c r="H93" t="s">
        <v>31</v>
      </c>
      <c r="I93" s="1">
        <v>44199</v>
      </c>
      <c r="J93">
        <v>120000</v>
      </c>
      <c r="K93">
        <v>2400</v>
      </c>
      <c r="L93">
        <v>600</v>
      </c>
      <c r="M93">
        <v>120</v>
      </c>
      <c r="N93">
        <v>3120</v>
      </c>
      <c r="O93">
        <v>1440000</v>
      </c>
      <c r="P93">
        <v>12000</v>
      </c>
      <c r="Q93">
        <v>1152000</v>
      </c>
      <c r="R93">
        <v>7920</v>
      </c>
      <c r="S93">
        <v>1171920</v>
      </c>
      <c r="T93">
        <v>19920</v>
      </c>
      <c r="U93">
        <v>1420080</v>
      </c>
    </row>
    <row r="94" spans="1:21" x14ac:dyDescent="0.35">
      <c r="A94">
        <v>116</v>
      </c>
      <c r="B94" t="s">
        <v>227</v>
      </c>
      <c r="C94" t="s">
        <v>228</v>
      </c>
      <c r="D94" t="s">
        <v>214</v>
      </c>
      <c r="E94" t="s">
        <v>39</v>
      </c>
      <c r="F94" t="s">
        <v>61</v>
      </c>
      <c r="G94" t="s">
        <v>35</v>
      </c>
      <c r="H94" t="s">
        <v>31</v>
      </c>
      <c r="I94" s="1">
        <v>44451</v>
      </c>
      <c r="J94">
        <v>120000</v>
      </c>
      <c r="K94">
        <v>2400</v>
      </c>
      <c r="L94">
        <v>600</v>
      </c>
      <c r="M94">
        <v>120</v>
      </c>
      <c r="N94">
        <v>3120</v>
      </c>
      <c r="O94">
        <v>1440000</v>
      </c>
      <c r="P94">
        <v>12000</v>
      </c>
      <c r="Q94">
        <v>1152000</v>
      </c>
      <c r="R94">
        <v>7920</v>
      </c>
      <c r="S94">
        <v>1171920</v>
      </c>
      <c r="T94">
        <v>19920</v>
      </c>
      <c r="U94">
        <v>1420080</v>
      </c>
    </row>
    <row r="95" spans="1:21" x14ac:dyDescent="0.35">
      <c r="A95">
        <v>93</v>
      </c>
      <c r="B95" t="s">
        <v>235</v>
      </c>
      <c r="C95" t="s">
        <v>236</v>
      </c>
      <c r="D95" t="s">
        <v>237</v>
      </c>
      <c r="E95" t="s">
        <v>24</v>
      </c>
      <c r="F95" t="s">
        <v>50</v>
      </c>
      <c r="G95" t="s">
        <v>35</v>
      </c>
      <c r="H95" t="s">
        <v>36</v>
      </c>
      <c r="I95" s="1">
        <v>44448</v>
      </c>
      <c r="J95">
        <v>100000</v>
      </c>
      <c r="K95">
        <v>2000</v>
      </c>
      <c r="L95">
        <v>500</v>
      </c>
      <c r="M95">
        <v>100</v>
      </c>
      <c r="N95">
        <v>2600</v>
      </c>
      <c r="O95">
        <v>1200000</v>
      </c>
      <c r="P95">
        <v>10000</v>
      </c>
      <c r="Q95">
        <v>960000</v>
      </c>
      <c r="R95">
        <v>6600</v>
      </c>
      <c r="S95">
        <v>976600</v>
      </c>
      <c r="T95">
        <v>16600</v>
      </c>
      <c r="U95">
        <v>1183400</v>
      </c>
    </row>
    <row r="96" spans="1:21" x14ac:dyDescent="0.35">
      <c r="A96">
        <v>117</v>
      </c>
      <c r="B96" t="s">
        <v>245</v>
      </c>
      <c r="C96" t="s">
        <v>246</v>
      </c>
      <c r="D96" t="s">
        <v>240</v>
      </c>
      <c r="E96" t="s">
        <v>39</v>
      </c>
      <c r="F96" t="s">
        <v>81</v>
      </c>
      <c r="G96" t="s">
        <v>35</v>
      </c>
      <c r="H96" t="s">
        <v>36</v>
      </c>
      <c r="I96" s="1">
        <v>44451</v>
      </c>
      <c r="J96">
        <v>100000</v>
      </c>
      <c r="K96">
        <v>2000</v>
      </c>
      <c r="L96">
        <v>500</v>
      </c>
      <c r="M96">
        <v>100</v>
      </c>
      <c r="N96">
        <v>2600</v>
      </c>
      <c r="O96">
        <v>1200000</v>
      </c>
      <c r="P96">
        <v>10000</v>
      </c>
      <c r="Q96">
        <v>960000</v>
      </c>
      <c r="R96">
        <v>6600</v>
      </c>
      <c r="S96">
        <v>976600</v>
      </c>
      <c r="T96">
        <v>16600</v>
      </c>
      <c r="U96">
        <v>1183400</v>
      </c>
    </row>
    <row r="97" spans="1:21" x14ac:dyDescent="0.35">
      <c r="A97">
        <v>130</v>
      </c>
      <c r="B97" t="s">
        <v>247</v>
      </c>
      <c r="C97" t="s">
        <v>248</v>
      </c>
      <c r="D97" t="s">
        <v>240</v>
      </c>
      <c r="E97" t="s">
        <v>39</v>
      </c>
      <c r="F97" t="s">
        <v>81</v>
      </c>
      <c r="G97" t="s">
        <v>26</v>
      </c>
      <c r="H97" t="s">
        <v>31</v>
      </c>
      <c r="I97" s="1">
        <v>44453</v>
      </c>
      <c r="J97">
        <v>120000</v>
      </c>
      <c r="K97">
        <v>2400</v>
      </c>
      <c r="L97">
        <v>600</v>
      </c>
      <c r="M97">
        <v>120</v>
      </c>
      <c r="N97">
        <v>3120</v>
      </c>
      <c r="O97">
        <v>1440000</v>
      </c>
      <c r="P97">
        <v>12000</v>
      </c>
      <c r="Q97">
        <v>1152000</v>
      </c>
      <c r="R97">
        <v>7920</v>
      </c>
      <c r="S97">
        <v>1171920</v>
      </c>
      <c r="T97">
        <v>19920</v>
      </c>
      <c r="U97">
        <v>1420080</v>
      </c>
    </row>
    <row r="98" spans="1:21" x14ac:dyDescent="0.35">
      <c r="A98">
        <v>40</v>
      </c>
      <c r="B98" t="s">
        <v>241</v>
      </c>
      <c r="C98" t="s">
        <v>242</v>
      </c>
      <c r="D98" t="s">
        <v>240</v>
      </c>
      <c r="E98" t="s">
        <v>24</v>
      </c>
      <c r="F98" t="s">
        <v>74</v>
      </c>
      <c r="G98" t="s">
        <v>26</v>
      </c>
      <c r="H98" t="s">
        <v>27</v>
      </c>
      <c r="I98" s="1">
        <v>43956</v>
      </c>
      <c r="J98">
        <v>200000</v>
      </c>
      <c r="K98">
        <v>4000</v>
      </c>
      <c r="L98">
        <v>1000</v>
      </c>
      <c r="M98">
        <v>200</v>
      </c>
      <c r="N98">
        <v>5200</v>
      </c>
      <c r="O98">
        <v>2400000</v>
      </c>
      <c r="P98">
        <v>20000</v>
      </c>
      <c r="Q98">
        <v>1920000</v>
      </c>
      <c r="R98">
        <v>13200</v>
      </c>
      <c r="S98">
        <v>1953200</v>
      </c>
      <c r="T98">
        <v>33200</v>
      </c>
      <c r="U98">
        <v>2366800</v>
      </c>
    </row>
    <row r="99" spans="1:21" x14ac:dyDescent="0.35">
      <c r="A99">
        <v>14</v>
      </c>
      <c r="B99" t="s">
        <v>238</v>
      </c>
      <c r="C99" t="s">
        <v>239</v>
      </c>
      <c r="D99" t="s">
        <v>240</v>
      </c>
      <c r="E99" t="s">
        <v>24</v>
      </c>
      <c r="F99" t="s">
        <v>50</v>
      </c>
      <c r="G99" t="s">
        <v>35</v>
      </c>
      <c r="H99" t="s">
        <v>31</v>
      </c>
      <c r="I99" s="1">
        <v>44446</v>
      </c>
      <c r="J99">
        <v>120000</v>
      </c>
      <c r="K99">
        <v>2400</v>
      </c>
      <c r="L99">
        <v>600</v>
      </c>
      <c r="M99">
        <v>120</v>
      </c>
      <c r="N99">
        <v>3120</v>
      </c>
      <c r="O99">
        <v>1440000</v>
      </c>
      <c r="P99">
        <v>12000</v>
      </c>
      <c r="Q99">
        <v>1152000</v>
      </c>
      <c r="R99">
        <v>7920</v>
      </c>
      <c r="S99">
        <v>1171920</v>
      </c>
      <c r="T99">
        <v>19920</v>
      </c>
      <c r="U99">
        <v>1420080</v>
      </c>
    </row>
    <row r="100" spans="1:21" x14ac:dyDescent="0.35">
      <c r="A100">
        <v>95</v>
      </c>
      <c r="B100" t="s">
        <v>243</v>
      </c>
      <c r="C100" t="s">
        <v>244</v>
      </c>
      <c r="D100" t="s">
        <v>240</v>
      </c>
      <c r="E100" t="s">
        <v>24</v>
      </c>
      <c r="F100" t="s">
        <v>61</v>
      </c>
      <c r="G100" t="s">
        <v>35</v>
      </c>
      <c r="H100" t="s">
        <v>51</v>
      </c>
      <c r="I100" s="1">
        <v>44448</v>
      </c>
      <c r="J100">
        <v>150000</v>
      </c>
      <c r="K100">
        <v>3000</v>
      </c>
      <c r="L100">
        <v>750</v>
      </c>
      <c r="M100">
        <v>150</v>
      </c>
      <c r="N100">
        <v>3900</v>
      </c>
      <c r="O100">
        <v>1800000</v>
      </c>
      <c r="P100">
        <v>15000</v>
      </c>
      <c r="Q100">
        <v>1440000</v>
      </c>
      <c r="R100">
        <v>9900</v>
      </c>
      <c r="S100">
        <v>1464900</v>
      </c>
      <c r="T100">
        <v>24900</v>
      </c>
      <c r="U100">
        <v>1775100</v>
      </c>
    </row>
    <row r="101" spans="1:21" x14ac:dyDescent="0.35">
      <c r="A101">
        <v>75</v>
      </c>
      <c r="B101" t="s">
        <v>252</v>
      </c>
      <c r="C101" t="s">
        <v>253</v>
      </c>
      <c r="D101" t="s">
        <v>251</v>
      </c>
      <c r="E101" t="s">
        <v>24</v>
      </c>
      <c r="F101" t="s">
        <v>81</v>
      </c>
      <c r="G101" t="s">
        <v>35</v>
      </c>
      <c r="H101" t="s">
        <v>51</v>
      </c>
      <c r="I101" s="1">
        <v>43542</v>
      </c>
      <c r="J101">
        <v>150000</v>
      </c>
      <c r="K101">
        <v>3000</v>
      </c>
      <c r="L101">
        <v>750</v>
      </c>
      <c r="M101">
        <v>150</v>
      </c>
      <c r="N101">
        <v>3900</v>
      </c>
      <c r="O101">
        <v>1800000</v>
      </c>
      <c r="P101">
        <v>15000</v>
      </c>
      <c r="Q101">
        <v>1440000</v>
      </c>
      <c r="R101">
        <v>9900</v>
      </c>
      <c r="S101">
        <v>1464900</v>
      </c>
      <c r="T101">
        <v>24900</v>
      </c>
      <c r="U101">
        <v>1775100</v>
      </c>
    </row>
    <row r="102" spans="1:21" x14ac:dyDescent="0.35">
      <c r="A102">
        <v>118</v>
      </c>
      <c r="B102" t="s">
        <v>254</v>
      </c>
      <c r="C102" t="s">
        <v>255</v>
      </c>
      <c r="D102" t="s">
        <v>251</v>
      </c>
      <c r="E102" t="s">
        <v>24</v>
      </c>
      <c r="F102" t="s">
        <v>81</v>
      </c>
      <c r="G102" t="s">
        <v>35</v>
      </c>
      <c r="H102" t="s">
        <v>36</v>
      </c>
      <c r="I102" s="1">
        <v>44451</v>
      </c>
      <c r="J102">
        <v>100000</v>
      </c>
      <c r="K102">
        <v>2000</v>
      </c>
      <c r="L102">
        <v>500</v>
      </c>
      <c r="M102">
        <v>100</v>
      </c>
      <c r="N102">
        <v>2600</v>
      </c>
      <c r="O102">
        <v>1200000</v>
      </c>
      <c r="P102">
        <v>10000</v>
      </c>
      <c r="Q102">
        <v>960000</v>
      </c>
      <c r="R102">
        <v>6600</v>
      </c>
      <c r="S102">
        <v>976600</v>
      </c>
      <c r="T102">
        <v>16600</v>
      </c>
      <c r="U102">
        <v>1183400</v>
      </c>
    </row>
    <row r="103" spans="1:21" x14ac:dyDescent="0.35">
      <c r="A103">
        <v>41</v>
      </c>
      <c r="B103" t="s">
        <v>249</v>
      </c>
      <c r="C103" t="s">
        <v>250</v>
      </c>
      <c r="D103" t="s">
        <v>251</v>
      </c>
      <c r="E103" t="s">
        <v>39</v>
      </c>
      <c r="F103" t="s">
        <v>159</v>
      </c>
      <c r="G103" t="s">
        <v>35</v>
      </c>
      <c r="H103" t="s">
        <v>27</v>
      </c>
      <c r="I103" s="1">
        <v>43956</v>
      </c>
      <c r="J103">
        <v>200000</v>
      </c>
      <c r="K103">
        <v>4000</v>
      </c>
      <c r="L103">
        <v>1000</v>
      </c>
      <c r="M103">
        <v>200</v>
      </c>
      <c r="N103">
        <v>5200</v>
      </c>
      <c r="O103">
        <v>2400000</v>
      </c>
      <c r="P103">
        <v>20000</v>
      </c>
      <c r="Q103">
        <v>1920000</v>
      </c>
      <c r="R103">
        <v>13200</v>
      </c>
      <c r="S103">
        <v>1953200</v>
      </c>
      <c r="T103">
        <v>33200</v>
      </c>
      <c r="U103">
        <v>2366800</v>
      </c>
    </row>
    <row r="104" spans="1:21" x14ac:dyDescent="0.35">
      <c r="A104">
        <v>73</v>
      </c>
      <c r="B104" t="s">
        <v>259</v>
      </c>
      <c r="C104" t="s">
        <v>260</v>
      </c>
      <c r="D104" t="s">
        <v>258</v>
      </c>
      <c r="E104" t="s">
        <v>39</v>
      </c>
      <c r="F104" t="s">
        <v>81</v>
      </c>
      <c r="G104" t="s">
        <v>35</v>
      </c>
      <c r="H104" t="s">
        <v>51</v>
      </c>
      <c r="I104" s="1">
        <v>43542</v>
      </c>
      <c r="J104">
        <v>150000</v>
      </c>
      <c r="K104">
        <v>3000</v>
      </c>
      <c r="L104">
        <v>750</v>
      </c>
      <c r="M104">
        <v>150</v>
      </c>
      <c r="N104">
        <v>3900</v>
      </c>
      <c r="O104">
        <v>1800000</v>
      </c>
      <c r="P104">
        <v>15000</v>
      </c>
      <c r="Q104">
        <v>1440000</v>
      </c>
      <c r="R104">
        <v>9900</v>
      </c>
      <c r="S104">
        <v>1464900</v>
      </c>
      <c r="T104">
        <v>24900</v>
      </c>
      <c r="U104">
        <v>1775100</v>
      </c>
    </row>
    <row r="105" spans="1:21" x14ac:dyDescent="0.35">
      <c r="A105">
        <v>78</v>
      </c>
      <c r="B105" t="s">
        <v>261</v>
      </c>
      <c r="C105" t="s">
        <v>262</v>
      </c>
      <c r="D105" t="s">
        <v>258</v>
      </c>
      <c r="E105" t="s">
        <v>24</v>
      </c>
      <c r="F105" t="s">
        <v>74</v>
      </c>
      <c r="G105" t="s">
        <v>35</v>
      </c>
      <c r="H105" t="s">
        <v>31</v>
      </c>
      <c r="I105" s="1">
        <v>43542</v>
      </c>
      <c r="J105">
        <v>120000</v>
      </c>
      <c r="K105">
        <v>2400</v>
      </c>
      <c r="L105">
        <v>600</v>
      </c>
      <c r="M105">
        <v>120</v>
      </c>
      <c r="N105">
        <v>3120</v>
      </c>
      <c r="O105">
        <v>1440000</v>
      </c>
      <c r="P105">
        <v>12000</v>
      </c>
      <c r="Q105">
        <v>1152000</v>
      </c>
      <c r="R105">
        <v>7920</v>
      </c>
      <c r="S105">
        <v>1171920</v>
      </c>
      <c r="T105">
        <v>19920</v>
      </c>
      <c r="U105">
        <v>1420080</v>
      </c>
    </row>
    <row r="106" spans="1:21" x14ac:dyDescent="0.35">
      <c r="A106">
        <v>17</v>
      </c>
      <c r="B106" t="s">
        <v>256</v>
      </c>
      <c r="C106" t="s">
        <v>257</v>
      </c>
      <c r="D106" t="s">
        <v>258</v>
      </c>
      <c r="E106" t="s">
        <v>24</v>
      </c>
      <c r="F106" t="s">
        <v>50</v>
      </c>
      <c r="G106" t="s">
        <v>35</v>
      </c>
      <c r="H106" t="s">
        <v>31</v>
      </c>
      <c r="I106" s="1">
        <v>44449</v>
      </c>
      <c r="J106">
        <v>120000</v>
      </c>
      <c r="K106">
        <v>2400</v>
      </c>
      <c r="L106">
        <v>600</v>
      </c>
      <c r="M106">
        <v>120</v>
      </c>
      <c r="N106">
        <v>3120</v>
      </c>
      <c r="O106">
        <v>1440000</v>
      </c>
      <c r="P106">
        <v>12000</v>
      </c>
      <c r="Q106">
        <v>1152000</v>
      </c>
      <c r="R106">
        <v>7920</v>
      </c>
      <c r="S106">
        <v>1171920</v>
      </c>
      <c r="T106">
        <v>19920</v>
      </c>
      <c r="U106">
        <v>1420080</v>
      </c>
    </row>
    <row r="107" spans="1:21" x14ac:dyDescent="0.35">
      <c r="A107">
        <v>136</v>
      </c>
      <c r="B107" t="s">
        <v>263</v>
      </c>
      <c r="C107" t="s">
        <v>264</v>
      </c>
      <c r="D107" t="s">
        <v>258</v>
      </c>
      <c r="E107" t="s">
        <v>24</v>
      </c>
      <c r="F107" t="s">
        <v>123</v>
      </c>
      <c r="G107" t="s">
        <v>26</v>
      </c>
      <c r="H107" t="s">
        <v>27</v>
      </c>
      <c r="I107" s="1">
        <v>44453</v>
      </c>
      <c r="J107">
        <v>200000</v>
      </c>
      <c r="K107">
        <v>4000</v>
      </c>
      <c r="L107">
        <v>1000</v>
      </c>
      <c r="M107">
        <v>200</v>
      </c>
      <c r="N107">
        <v>5200</v>
      </c>
      <c r="O107">
        <v>2400000</v>
      </c>
      <c r="P107">
        <v>20000</v>
      </c>
      <c r="Q107">
        <v>1920000</v>
      </c>
      <c r="R107">
        <v>13200</v>
      </c>
      <c r="S107">
        <v>1953200</v>
      </c>
      <c r="T107">
        <v>33200</v>
      </c>
      <c r="U107">
        <v>2366800</v>
      </c>
    </row>
    <row r="108" spans="1:21" x14ac:dyDescent="0.35">
      <c r="A108">
        <v>140</v>
      </c>
      <c r="B108" t="s">
        <v>265</v>
      </c>
      <c r="C108" t="s">
        <v>266</v>
      </c>
      <c r="D108" t="s">
        <v>267</v>
      </c>
      <c r="E108" t="s">
        <v>39</v>
      </c>
      <c r="F108" t="s">
        <v>123</v>
      </c>
      <c r="G108" t="s">
        <v>26</v>
      </c>
      <c r="H108" t="s">
        <v>36</v>
      </c>
      <c r="I108" s="1">
        <v>44457</v>
      </c>
      <c r="J108">
        <v>100000</v>
      </c>
      <c r="K108">
        <v>2000</v>
      </c>
      <c r="L108">
        <v>500</v>
      </c>
      <c r="M108">
        <v>100</v>
      </c>
      <c r="N108">
        <v>2600</v>
      </c>
      <c r="O108">
        <v>1200000</v>
      </c>
      <c r="P108">
        <v>10000</v>
      </c>
      <c r="Q108">
        <v>960000</v>
      </c>
      <c r="R108">
        <v>6600</v>
      </c>
      <c r="S108">
        <v>976600</v>
      </c>
      <c r="T108">
        <v>16600</v>
      </c>
      <c r="U108">
        <v>1183400</v>
      </c>
    </row>
    <row r="109" spans="1:21" x14ac:dyDescent="0.35">
      <c r="A109">
        <v>119</v>
      </c>
      <c r="B109" t="s">
        <v>279</v>
      </c>
      <c r="C109" t="s">
        <v>280</v>
      </c>
      <c r="D109" t="s">
        <v>270</v>
      </c>
      <c r="E109" t="s">
        <v>39</v>
      </c>
      <c r="F109" t="s">
        <v>34</v>
      </c>
      <c r="G109" t="s">
        <v>26</v>
      </c>
      <c r="H109" t="s">
        <v>51</v>
      </c>
      <c r="I109" s="1">
        <v>44451</v>
      </c>
      <c r="J109">
        <v>150000</v>
      </c>
      <c r="K109">
        <v>3000</v>
      </c>
      <c r="L109">
        <v>750</v>
      </c>
      <c r="M109">
        <v>150</v>
      </c>
      <c r="N109">
        <v>3900</v>
      </c>
      <c r="O109">
        <v>1800000</v>
      </c>
      <c r="P109">
        <v>15000</v>
      </c>
      <c r="Q109">
        <v>1440000</v>
      </c>
      <c r="R109">
        <v>9900</v>
      </c>
      <c r="S109">
        <v>1464900</v>
      </c>
      <c r="T109">
        <v>24900</v>
      </c>
      <c r="U109">
        <v>1775100</v>
      </c>
    </row>
    <row r="110" spans="1:21" x14ac:dyDescent="0.35">
      <c r="A110">
        <v>150</v>
      </c>
      <c r="B110" t="s">
        <v>283</v>
      </c>
      <c r="C110" t="s">
        <v>284</v>
      </c>
      <c r="D110" t="s">
        <v>270</v>
      </c>
      <c r="E110" t="s">
        <v>39</v>
      </c>
      <c r="F110" t="s">
        <v>34</v>
      </c>
      <c r="G110" t="s">
        <v>35</v>
      </c>
      <c r="H110" t="s">
        <v>31</v>
      </c>
      <c r="I110" s="1">
        <v>44460</v>
      </c>
      <c r="J110">
        <v>120000</v>
      </c>
      <c r="K110">
        <v>2400</v>
      </c>
      <c r="L110">
        <v>600</v>
      </c>
      <c r="M110">
        <v>120</v>
      </c>
      <c r="N110">
        <v>3120</v>
      </c>
      <c r="O110">
        <v>1440000</v>
      </c>
      <c r="P110">
        <v>12000</v>
      </c>
      <c r="Q110">
        <v>1152000</v>
      </c>
      <c r="R110">
        <v>7920</v>
      </c>
      <c r="S110">
        <v>1171920</v>
      </c>
      <c r="T110">
        <v>19920</v>
      </c>
      <c r="U110">
        <v>1420080</v>
      </c>
    </row>
    <row r="111" spans="1:21" x14ac:dyDescent="0.35">
      <c r="A111">
        <v>79</v>
      </c>
      <c r="B111" t="s">
        <v>275</v>
      </c>
      <c r="C111" t="s">
        <v>276</v>
      </c>
      <c r="D111" t="s">
        <v>270</v>
      </c>
      <c r="E111" t="s">
        <v>24</v>
      </c>
      <c r="F111" t="s">
        <v>74</v>
      </c>
      <c r="G111" t="s">
        <v>26</v>
      </c>
      <c r="H111" t="s">
        <v>31</v>
      </c>
      <c r="I111" s="1">
        <v>43542</v>
      </c>
      <c r="J111">
        <v>120000</v>
      </c>
      <c r="K111">
        <v>2400</v>
      </c>
      <c r="L111">
        <v>600</v>
      </c>
      <c r="M111">
        <v>120</v>
      </c>
      <c r="N111">
        <v>3120</v>
      </c>
      <c r="O111">
        <v>1440000</v>
      </c>
      <c r="P111">
        <v>12000</v>
      </c>
      <c r="Q111">
        <v>1152000</v>
      </c>
      <c r="R111">
        <v>7920</v>
      </c>
      <c r="S111">
        <v>1171920</v>
      </c>
      <c r="T111">
        <v>19920</v>
      </c>
      <c r="U111">
        <v>1420080</v>
      </c>
    </row>
    <row r="112" spans="1:21" x14ac:dyDescent="0.35">
      <c r="A112">
        <v>20</v>
      </c>
      <c r="B112" t="s">
        <v>268</v>
      </c>
      <c r="C112" t="s">
        <v>269</v>
      </c>
      <c r="D112" t="s">
        <v>270</v>
      </c>
      <c r="E112" t="s">
        <v>24</v>
      </c>
      <c r="F112" t="s">
        <v>25</v>
      </c>
      <c r="G112" t="s">
        <v>35</v>
      </c>
      <c r="H112" t="s">
        <v>31</v>
      </c>
      <c r="I112" s="1">
        <v>44452</v>
      </c>
      <c r="J112">
        <v>120000</v>
      </c>
      <c r="K112">
        <v>2400</v>
      </c>
      <c r="L112">
        <v>600</v>
      </c>
      <c r="M112">
        <v>120</v>
      </c>
      <c r="N112">
        <v>3120</v>
      </c>
      <c r="O112">
        <v>1440000</v>
      </c>
      <c r="P112">
        <v>12000</v>
      </c>
      <c r="Q112">
        <v>1152000</v>
      </c>
      <c r="R112">
        <v>7920</v>
      </c>
      <c r="S112">
        <v>1171920</v>
      </c>
      <c r="T112">
        <v>19920</v>
      </c>
      <c r="U112">
        <v>1420080</v>
      </c>
    </row>
    <row r="113" spans="1:21" x14ac:dyDescent="0.35">
      <c r="A113">
        <v>66</v>
      </c>
      <c r="B113" t="s">
        <v>273</v>
      </c>
      <c r="C113" t="s">
        <v>274</v>
      </c>
      <c r="D113" t="s">
        <v>270</v>
      </c>
      <c r="E113" t="s">
        <v>39</v>
      </c>
      <c r="F113" t="s">
        <v>50</v>
      </c>
      <c r="G113" t="s">
        <v>35</v>
      </c>
      <c r="H113" t="s">
        <v>51</v>
      </c>
      <c r="I113" s="1">
        <v>43542</v>
      </c>
      <c r="J113">
        <v>150000</v>
      </c>
      <c r="K113">
        <v>3000</v>
      </c>
      <c r="L113">
        <v>750</v>
      </c>
      <c r="M113">
        <v>150</v>
      </c>
      <c r="N113">
        <v>3900</v>
      </c>
      <c r="O113">
        <v>1800000</v>
      </c>
      <c r="P113">
        <v>15000</v>
      </c>
      <c r="Q113">
        <v>1440000</v>
      </c>
      <c r="R113">
        <v>9900</v>
      </c>
      <c r="S113">
        <v>1464900</v>
      </c>
      <c r="T113">
        <v>24900</v>
      </c>
      <c r="U113">
        <v>1775100</v>
      </c>
    </row>
    <row r="114" spans="1:21" x14ac:dyDescent="0.35">
      <c r="A114">
        <v>101</v>
      </c>
      <c r="B114" t="s">
        <v>277</v>
      </c>
      <c r="C114" t="s">
        <v>278</v>
      </c>
      <c r="D114" t="s">
        <v>270</v>
      </c>
      <c r="E114" t="s">
        <v>24</v>
      </c>
      <c r="F114" t="s">
        <v>50</v>
      </c>
      <c r="G114" t="s">
        <v>26</v>
      </c>
      <c r="H114" t="s">
        <v>51</v>
      </c>
      <c r="I114" s="1">
        <v>44448</v>
      </c>
      <c r="J114">
        <v>150000</v>
      </c>
      <c r="K114">
        <v>3000</v>
      </c>
      <c r="L114">
        <v>750</v>
      </c>
      <c r="M114">
        <v>150</v>
      </c>
      <c r="N114">
        <v>3900</v>
      </c>
      <c r="O114">
        <v>1800000</v>
      </c>
      <c r="P114">
        <v>15000</v>
      </c>
      <c r="Q114">
        <v>1440000</v>
      </c>
      <c r="R114">
        <v>9900</v>
      </c>
      <c r="S114">
        <v>1464900</v>
      </c>
      <c r="T114">
        <v>24900</v>
      </c>
      <c r="U114">
        <v>1775100</v>
      </c>
    </row>
    <row r="115" spans="1:21" x14ac:dyDescent="0.35">
      <c r="A115">
        <v>36</v>
      </c>
      <c r="B115" t="s">
        <v>271</v>
      </c>
      <c r="C115" t="s">
        <v>272</v>
      </c>
      <c r="D115" t="s">
        <v>270</v>
      </c>
      <c r="E115" t="s">
        <v>24</v>
      </c>
      <c r="F115" t="s">
        <v>30</v>
      </c>
      <c r="G115" t="s">
        <v>26</v>
      </c>
      <c r="H115" t="s">
        <v>31</v>
      </c>
      <c r="I115" s="1">
        <v>43437</v>
      </c>
      <c r="J115">
        <v>120000</v>
      </c>
      <c r="K115">
        <v>2400</v>
      </c>
      <c r="L115">
        <v>600</v>
      </c>
      <c r="M115">
        <v>120</v>
      </c>
      <c r="N115">
        <v>3120</v>
      </c>
      <c r="O115">
        <v>1440000</v>
      </c>
      <c r="P115">
        <v>12000</v>
      </c>
      <c r="Q115">
        <v>1152000</v>
      </c>
      <c r="R115">
        <v>7920</v>
      </c>
      <c r="S115">
        <v>1171920</v>
      </c>
      <c r="T115">
        <v>19920</v>
      </c>
      <c r="U115">
        <v>1420080</v>
      </c>
    </row>
    <row r="116" spans="1:21" x14ac:dyDescent="0.35">
      <c r="A116">
        <v>135</v>
      </c>
      <c r="B116" t="s">
        <v>281</v>
      </c>
      <c r="C116" t="s">
        <v>282</v>
      </c>
      <c r="D116" t="s">
        <v>270</v>
      </c>
      <c r="E116" t="s">
        <v>39</v>
      </c>
      <c r="F116" t="s">
        <v>123</v>
      </c>
      <c r="G116" t="s">
        <v>35</v>
      </c>
      <c r="H116" t="s">
        <v>36</v>
      </c>
      <c r="I116" s="1">
        <v>44453</v>
      </c>
      <c r="J116">
        <v>100000</v>
      </c>
      <c r="K116">
        <v>2000</v>
      </c>
      <c r="L116">
        <v>500</v>
      </c>
      <c r="M116">
        <v>100</v>
      </c>
      <c r="N116">
        <v>2600</v>
      </c>
      <c r="O116">
        <v>1200000</v>
      </c>
      <c r="P116">
        <v>10000</v>
      </c>
      <c r="Q116">
        <v>960000</v>
      </c>
      <c r="R116">
        <v>6600</v>
      </c>
      <c r="S116">
        <v>976600</v>
      </c>
      <c r="T116">
        <v>16600</v>
      </c>
      <c r="U116">
        <v>1183400</v>
      </c>
    </row>
    <row r="117" spans="1:21" x14ac:dyDescent="0.35">
      <c r="A117">
        <v>145</v>
      </c>
      <c r="B117" t="s">
        <v>285</v>
      </c>
      <c r="C117" t="s">
        <v>286</v>
      </c>
      <c r="D117" t="s">
        <v>287</v>
      </c>
      <c r="E117" t="s">
        <v>24</v>
      </c>
      <c r="F117" t="s">
        <v>25</v>
      </c>
      <c r="G117" t="s">
        <v>26</v>
      </c>
      <c r="H117" t="s">
        <v>120</v>
      </c>
      <c r="I117" s="1">
        <v>44457</v>
      </c>
      <c r="J117">
        <v>125000</v>
      </c>
      <c r="K117">
        <v>2500</v>
      </c>
      <c r="L117">
        <v>625</v>
      </c>
      <c r="M117">
        <v>125</v>
      </c>
      <c r="N117">
        <v>3250</v>
      </c>
      <c r="O117">
        <v>1500000</v>
      </c>
      <c r="P117">
        <v>12500</v>
      </c>
      <c r="Q117">
        <v>1200000</v>
      </c>
      <c r="R117">
        <v>8250</v>
      </c>
      <c r="S117">
        <v>1220750</v>
      </c>
      <c r="T117">
        <v>20750</v>
      </c>
      <c r="U117">
        <v>1479250</v>
      </c>
    </row>
    <row r="118" spans="1:21" x14ac:dyDescent="0.35">
      <c r="A118">
        <v>120</v>
      </c>
      <c r="B118" t="s">
        <v>293</v>
      </c>
      <c r="C118" t="s">
        <v>294</v>
      </c>
      <c r="D118" t="s">
        <v>290</v>
      </c>
      <c r="E118" t="s">
        <v>39</v>
      </c>
      <c r="F118" t="s">
        <v>34</v>
      </c>
      <c r="G118" t="s">
        <v>26</v>
      </c>
      <c r="H118" t="s">
        <v>31</v>
      </c>
      <c r="I118" s="1">
        <v>44451</v>
      </c>
      <c r="J118">
        <v>120000</v>
      </c>
      <c r="K118">
        <v>2400</v>
      </c>
      <c r="L118">
        <v>600</v>
      </c>
      <c r="M118">
        <v>120</v>
      </c>
      <c r="N118">
        <v>3120</v>
      </c>
      <c r="O118">
        <v>1440000</v>
      </c>
      <c r="P118">
        <v>12000</v>
      </c>
      <c r="Q118">
        <v>1152000</v>
      </c>
      <c r="R118">
        <v>7920</v>
      </c>
      <c r="S118">
        <v>1171920</v>
      </c>
      <c r="T118">
        <v>19920</v>
      </c>
      <c r="U118">
        <v>1420080</v>
      </c>
    </row>
    <row r="119" spans="1:21" x14ac:dyDescent="0.35">
      <c r="A119">
        <v>22</v>
      </c>
      <c r="B119" t="s">
        <v>288</v>
      </c>
      <c r="C119" t="s">
        <v>289</v>
      </c>
      <c r="D119" t="s">
        <v>290</v>
      </c>
      <c r="E119" t="s">
        <v>24</v>
      </c>
      <c r="F119" t="s">
        <v>25</v>
      </c>
      <c r="G119" t="s">
        <v>35</v>
      </c>
      <c r="H119" t="s">
        <v>31</v>
      </c>
      <c r="I119" s="1">
        <v>44454</v>
      </c>
      <c r="J119">
        <v>120000</v>
      </c>
      <c r="K119">
        <v>2400</v>
      </c>
      <c r="L119">
        <v>600</v>
      </c>
      <c r="M119">
        <v>120</v>
      </c>
      <c r="N119">
        <v>3120</v>
      </c>
      <c r="O119">
        <v>1440000</v>
      </c>
      <c r="P119">
        <v>12000</v>
      </c>
      <c r="Q119">
        <v>1152000</v>
      </c>
      <c r="R119">
        <v>7920</v>
      </c>
      <c r="S119">
        <v>1171920</v>
      </c>
      <c r="T119">
        <v>19920</v>
      </c>
      <c r="U119">
        <v>1420080</v>
      </c>
    </row>
    <row r="120" spans="1:21" x14ac:dyDescent="0.35">
      <c r="A120">
        <v>32</v>
      </c>
      <c r="B120" t="s">
        <v>291</v>
      </c>
      <c r="C120" t="s">
        <v>292</v>
      </c>
      <c r="D120" t="s">
        <v>290</v>
      </c>
      <c r="E120" t="s">
        <v>24</v>
      </c>
      <c r="F120" t="s">
        <v>25</v>
      </c>
      <c r="G120" t="s">
        <v>35</v>
      </c>
      <c r="H120" t="s">
        <v>31</v>
      </c>
      <c r="I120" s="1">
        <v>43437</v>
      </c>
      <c r="J120">
        <v>120000</v>
      </c>
      <c r="K120">
        <v>2400</v>
      </c>
      <c r="L120">
        <v>600</v>
      </c>
      <c r="M120">
        <v>120</v>
      </c>
      <c r="N120">
        <v>3120</v>
      </c>
      <c r="O120">
        <v>1440000</v>
      </c>
      <c r="P120">
        <v>12000</v>
      </c>
      <c r="Q120">
        <v>1152000</v>
      </c>
      <c r="R120">
        <v>7920</v>
      </c>
      <c r="S120">
        <v>1171920</v>
      </c>
      <c r="T120">
        <v>19920</v>
      </c>
      <c r="U120">
        <v>1420080</v>
      </c>
    </row>
    <row r="121" spans="1:21" x14ac:dyDescent="0.35">
      <c r="A121">
        <v>146</v>
      </c>
      <c r="B121" t="s">
        <v>295</v>
      </c>
      <c r="C121" t="s">
        <v>296</v>
      </c>
      <c r="D121" t="s">
        <v>290</v>
      </c>
      <c r="E121" t="s">
        <v>24</v>
      </c>
      <c r="F121" t="s">
        <v>25</v>
      </c>
      <c r="G121" t="s">
        <v>35</v>
      </c>
      <c r="H121" t="s">
        <v>31</v>
      </c>
      <c r="I121" s="1">
        <v>44458</v>
      </c>
      <c r="J121">
        <v>120000</v>
      </c>
      <c r="K121">
        <v>2400</v>
      </c>
      <c r="L121">
        <v>600</v>
      </c>
      <c r="M121">
        <v>120</v>
      </c>
      <c r="N121">
        <v>3120</v>
      </c>
      <c r="O121">
        <v>1440000</v>
      </c>
      <c r="P121">
        <v>12000</v>
      </c>
      <c r="Q121">
        <v>1152000</v>
      </c>
      <c r="R121">
        <v>7920</v>
      </c>
      <c r="S121">
        <v>1171920</v>
      </c>
      <c r="T121">
        <v>19920</v>
      </c>
      <c r="U121">
        <v>1420080</v>
      </c>
    </row>
    <row r="122" spans="1:21" x14ac:dyDescent="0.35">
      <c r="A122">
        <v>38</v>
      </c>
      <c r="B122" t="s">
        <v>297</v>
      </c>
      <c r="C122" t="s">
        <v>298</v>
      </c>
      <c r="D122" t="s">
        <v>299</v>
      </c>
      <c r="E122" t="s">
        <v>24</v>
      </c>
      <c r="F122" t="s">
        <v>30</v>
      </c>
      <c r="G122" t="s">
        <v>26</v>
      </c>
      <c r="H122" t="s">
        <v>51</v>
      </c>
      <c r="I122" s="1">
        <v>43437</v>
      </c>
      <c r="J122">
        <v>150000</v>
      </c>
      <c r="K122">
        <v>3000</v>
      </c>
      <c r="L122">
        <v>750</v>
      </c>
      <c r="M122">
        <v>150</v>
      </c>
      <c r="N122">
        <v>3900</v>
      </c>
      <c r="O122">
        <v>1800000</v>
      </c>
      <c r="P122">
        <v>15000</v>
      </c>
      <c r="Q122">
        <v>1440000</v>
      </c>
      <c r="R122">
        <v>9900</v>
      </c>
      <c r="S122">
        <v>1464900</v>
      </c>
      <c r="T122">
        <v>24900</v>
      </c>
      <c r="U122">
        <v>1775100</v>
      </c>
    </row>
    <row r="123" spans="1:21" x14ac:dyDescent="0.35">
      <c r="A123">
        <v>97</v>
      </c>
      <c r="B123" t="s">
        <v>300</v>
      </c>
      <c r="C123" t="s">
        <v>301</v>
      </c>
      <c r="D123" t="s">
        <v>299</v>
      </c>
      <c r="E123" t="s">
        <v>24</v>
      </c>
      <c r="F123" t="s">
        <v>30</v>
      </c>
      <c r="G123" t="s">
        <v>26</v>
      </c>
      <c r="H123" t="s">
        <v>31</v>
      </c>
      <c r="I123" s="1">
        <v>44448</v>
      </c>
      <c r="J123">
        <v>120000</v>
      </c>
      <c r="K123">
        <v>2400</v>
      </c>
      <c r="L123">
        <v>600</v>
      </c>
      <c r="M123">
        <v>120</v>
      </c>
      <c r="N123">
        <v>3120</v>
      </c>
      <c r="O123">
        <v>1440000</v>
      </c>
      <c r="P123">
        <v>12000</v>
      </c>
      <c r="Q123">
        <v>1152000</v>
      </c>
      <c r="R123">
        <v>7920</v>
      </c>
      <c r="S123">
        <v>1171920</v>
      </c>
      <c r="T123">
        <v>19920</v>
      </c>
      <c r="U123">
        <v>1420080</v>
      </c>
    </row>
    <row r="124" spans="1:21" x14ac:dyDescent="0.35">
      <c r="A124">
        <v>134</v>
      </c>
      <c r="B124" t="s">
        <v>305</v>
      </c>
      <c r="C124" t="s">
        <v>306</v>
      </c>
      <c r="D124" t="s">
        <v>304</v>
      </c>
      <c r="E124" t="s">
        <v>24</v>
      </c>
      <c r="F124" t="s">
        <v>74</v>
      </c>
      <c r="G124" t="s">
        <v>35</v>
      </c>
      <c r="H124" t="s">
        <v>36</v>
      </c>
      <c r="I124" s="1">
        <v>44453</v>
      </c>
      <c r="J124">
        <v>100000</v>
      </c>
      <c r="K124">
        <v>2000</v>
      </c>
      <c r="L124">
        <v>500</v>
      </c>
      <c r="M124">
        <v>100</v>
      </c>
      <c r="N124">
        <v>2600</v>
      </c>
      <c r="O124">
        <v>1200000</v>
      </c>
      <c r="P124">
        <v>10000</v>
      </c>
      <c r="Q124">
        <v>960000</v>
      </c>
      <c r="R124">
        <v>6600</v>
      </c>
      <c r="S124">
        <v>976600</v>
      </c>
      <c r="T124">
        <v>16600</v>
      </c>
      <c r="U124">
        <v>1183400</v>
      </c>
    </row>
    <row r="125" spans="1:21" x14ac:dyDescent="0.35">
      <c r="A125">
        <v>28</v>
      </c>
      <c r="B125" t="s">
        <v>302</v>
      </c>
      <c r="C125" t="s">
        <v>303</v>
      </c>
      <c r="D125" t="s">
        <v>304</v>
      </c>
      <c r="E125" t="s">
        <v>39</v>
      </c>
      <c r="F125" t="s">
        <v>25</v>
      </c>
      <c r="G125" t="s">
        <v>35</v>
      </c>
      <c r="H125" t="s">
        <v>31</v>
      </c>
      <c r="I125" s="1">
        <v>43437</v>
      </c>
      <c r="J125">
        <v>120000</v>
      </c>
      <c r="K125">
        <v>2400</v>
      </c>
      <c r="L125">
        <v>600</v>
      </c>
      <c r="M125">
        <v>120</v>
      </c>
      <c r="N125">
        <v>3120</v>
      </c>
      <c r="O125">
        <v>1440000</v>
      </c>
      <c r="P125">
        <v>12000</v>
      </c>
      <c r="Q125">
        <v>1152000</v>
      </c>
      <c r="R125">
        <v>7920</v>
      </c>
      <c r="S125">
        <v>1171920</v>
      </c>
      <c r="T125">
        <v>19920</v>
      </c>
      <c r="U125">
        <v>1420080</v>
      </c>
    </row>
    <row r="126" spans="1:21" x14ac:dyDescent="0.35">
      <c r="A126">
        <v>80</v>
      </c>
      <c r="B126" t="s">
        <v>310</v>
      </c>
      <c r="C126" t="s">
        <v>311</v>
      </c>
      <c r="D126" t="s">
        <v>309</v>
      </c>
      <c r="E126" t="s">
        <v>24</v>
      </c>
      <c r="F126" t="s">
        <v>74</v>
      </c>
      <c r="G126" t="s">
        <v>26</v>
      </c>
      <c r="H126" t="s">
        <v>31</v>
      </c>
      <c r="I126" s="1">
        <v>43542</v>
      </c>
      <c r="J126">
        <v>120000</v>
      </c>
      <c r="K126">
        <v>2400</v>
      </c>
      <c r="L126">
        <v>600</v>
      </c>
      <c r="M126">
        <v>120</v>
      </c>
      <c r="N126">
        <v>3120</v>
      </c>
      <c r="O126">
        <v>1440000</v>
      </c>
      <c r="P126">
        <v>12000</v>
      </c>
      <c r="Q126">
        <v>1152000</v>
      </c>
      <c r="R126">
        <v>7920</v>
      </c>
      <c r="S126">
        <v>1171920</v>
      </c>
      <c r="T126">
        <v>19920</v>
      </c>
      <c r="U126">
        <v>1420080</v>
      </c>
    </row>
    <row r="127" spans="1:21" x14ac:dyDescent="0.35">
      <c r="A127">
        <v>16</v>
      </c>
      <c r="B127" t="s">
        <v>307</v>
      </c>
      <c r="C127" t="s">
        <v>308</v>
      </c>
      <c r="D127" t="s">
        <v>309</v>
      </c>
      <c r="E127" t="s">
        <v>24</v>
      </c>
      <c r="F127" t="s">
        <v>50</v>
      </c>
      <c r="G127" t="s">
        <v>35</v>
      </c>
      <c r="H127" t="s">
        <v>31</v>
      </c>
      <c r="I127" s="1">
        <v>44448</v>
      </c>
      <c r="J127">
        <v>120000</v>
      </c>
      <c r="K127">
        <v>2400</v>
      </c>
      <c r="L127">
        <v>600</v>
      </c>
      <c r="M127">
        <v>120</v>
      </c>
      <c r="N127">
        <v>3120</v>
      </c>
      <c r="O127">
        <v>1440000</v>
      </c>
      <c r="P127">
        <v>12000</v>
      </c>
      <c r="Q127">
        <v>1152000</v>
      </c>
      <c r="R127">
        <v>7920</v>
      </c>
      <c r="S127">
        <v>1171920</v>
      </c>
      <c r="T127">
        <v>19920</v>
      </c>
      <c r="U127">
        <v>1420080</v>
      </c>
    </row>
    <row r="128" spans="1:21" x14ac:dyDescent="0.35">
      <c r="A128">
        <v>144</v>
      </c>
      <c r="B128" t="s">
        <v>312</v>
      </c>
      <c r="C128" t="s">
        <v>313</v>
      </c>
      <c r="D128" t="s">
        <v>309</v>
      </c>
      <c r="E128" t="s">
        <v>24</v>
      </c>
      <c r="F128" t="s">
        <v>50</v>
      </c>
      <c r="G128" t="s">
        <v>35</v>
      </c>
      <c r="H128" t="s">
        <v>36</v>
      </c>
      <c r="I128" s="1">
        <v>44457</v>
      </c>
      <c r="J128">
        <v>100000</v>
      </c>
      <c r="K128">
        <v>2000</v>
      </c>
      <c r="L128">
        <v>500</v>
      </c>
      <c r="M128">
        <v>100</v>
      </c>
      <c r="N128">
        <v>2600</v>
      </c>
      <c r="O128">
        <v>1200000</v>
      </c>
      <c r="P128">
        <v>10000</v>
      </c>
      <c r="Q128">
        <v>960000</v>
      </c>
      <c r="R128">
        <v>6600</v>
      </c>
      <c r="S128">
        <v>976600</v>
      </c>
      <c r="T128">
        <v>16600</v>
      </c>
      <c r="U128">
        <v>1183400</v>
      </c>
    </row>
    <row r="129" spans="1:21" x14ac:dyDescent="0.35">
      <c r="A129">
        <v>131</v>
      </c>
      <c r="B129" t="s">
        <v>323</v>
      </c>
      <c r="C129" t="s">
        <v>324</v>
      </c>
      <c r="D129" t="s">
        <v>316</v>
      </c>
      <c r="E129" t="s">
        <v>24</v>
      </c>
      <c r="F129" t="s">
        <v>81</v>
      </c>
      <c r="G129" t="s">
        <v>35</v>
      </c>
      <c r="H129" t="s">
        <v>36</v>
      </c>
      <c r="I129" s="1">
        <v>44453</v>
      </c>
      <c r="J129">
        <v>100000</v>
      </c>
      <c r="K129">
        <v>2000</v>
      </c>
      <c r="L129">
        <v>500</v>
      </c>
      <c r="M129">
        <v>100</v>
      </c>
      <c r="N129">
        <v>2600</v>
      </c>
      <c r="O129">
        <v>1200000</v>
      </c>
      <c r="P129">
        <v>10000</v>
      </c>
      <c r="Q129">
        <v>960000</v>
      </c>
      <c r="R129">
        <v>6600</v>
      </c>
      <c r="S129">
        <v>976600</v>
      </c>
      <c r="T129">
        <v>16600</v>
      </c>
      <c r="U129">
        <v>1183400</v>
      </c>
    </row>
    <row r="130" spans="1:21" x14ac:dyDescent="0.35">
      <c r="A130">
        <v>82</v>
      </c>
      <c r="B130" t="s">
        <v>319</v>
      </c>
      <c r="C130" t="s">
        <v>320</v>
      </c>
      <c r="D130" t="s">
        <v>316</v>
      </c>
      <c r="E130" t="s">
        <v>39</v>
      </c>
      <c r="F130" t="s">
        <v>25</v>
      </c>
      <c r="G130" t="s">
        <v>26</v>
      </c>
      <c r="H130" t="s">
        <v>120</v>
      </c>
      <c r="I130" s="1">
        <v>43542</v>
      </c>
      <c r="J130">
        <v>125000</v>
      </c>
      <c r="K130">
        <v>2500</v>
      </c>
      <c r="L130">
        <v>625</v>
      </c>
      <c r="M130">
        <v>125</v>
      </c>
      <c r="N130">
        <v>3250</v>
      </c>
      <c r="O130">
        <v>1500000</v>
      </c>
      <c r="P130">
        <v>12500</v>
      </c>
      <c r="Q130">
        <v>1200000</v>
      </c>
      <c r="R130">
        <v>8250</v>
      </c>
      <c r="S130">
        <v>1220750</v>
      </c>
      <c r="T130">
        <v>20750</v>
      </c>
      <c r="U130">
        <v>1479250</v>
      </c>
    </row>
    <row r="131" spans="1:21" x14ac:dyDescent="0.35">
      <c r="A131">
        <v>125</v>
      </c>
      <c r="B131" t="s">
        <v>321</v>
      </c>
      <c r="C131" t="s">
        <v>322</v>
      </c>
      <c r="D131" t="s">
        <v>316</v>
      </c>
      <c r="E131" t="s">
        <v>39</v>
      </c>
      <c r="F131" t="s">
        <v>25</v>
      </c>
      <c r="G131" t="s">
        <v>35</v>
      </c>
      <c r="H131" t="s">
        <v>27</v>
      </c>
      <c r="I131" s="1">
        <v>44452</v>
      </c>
      <c r="J131">
        <v>200000</v>
      </c>
      <c r="K131">
        <v>4000</v>
      </c>
      <c r="L131">
        <v>1000</v>
      </c>
      <c r="M131">
        <v>200</v>
      </c>
      <c r="N131">
        <v>5200</v>
      </c>
      <c r="O131">
        <v>2400000</v>
      </c>
      <c r="P131">
        <v>20000</v>
      </c>
      <c r="Q131">
        <v>1920000</v>
      </c>
      <c r="R131">
        <v>13200</v>
      </c>
      <c r="S131">
        <v>1953200</v>
      </c>
      <c r="T131">
        <v>33200</v>
      </c>
      <c r="U131">
        <v>2366800</v>
      </c>
    </row>
    <row r="132" spans="1:21" x14ac:dyDescent="0.35">
      <c r="A132">
        <v>67</v>
      </c>
      <c r="B132" t="s">
        <v>314</v>
      </c>
      <c r="C132" t="s">
        <v>315</v>
      </c>
      <c r="D132" t="s">
        <v>316</v>
      </c>
      <c r="E132" t="s">
        <v>39</v>
      </c>
      <c r="F132" t="s">
        <v>50</v>
      </c>
      <c r="G132" t="s">
        <v>35</v>
      </c>
      <c r="H132" t="s">
        <v>51</v>
      </c>
      <c r="I132" s="1">
        <v>43542</v>
      </c>
      <c r="J132">
        <v>150000</v>
      </c>
      <c r="K132">
        <v>3000</v>
      </c>
      <c r="L132">
        <v>750</v>
      </c>
      <c r="M132">
        <v>150</v>
      </c>
      <c r="N132">
        <v>3900</v>
      </c>
      <c r="O132">
        <v>1800000</v>
      </c>
      <c r="P132">
        <v>15000</v>
      </c>
      <c r="Q132">
        <v>1440000</v>
      </c>
      <c r="R132">
        <v>9900</v>
      </c>
      <c r="S132">
        <v>1464900</v>
      </c>
      <c r="T132">
        <v>24900</v>
      </c>
      <c r="U132">
        <v>1775100</v>
      </c>
    </row>
    <row r="133" spans="1:21" x14ac:dyDescent="0.35">
      <c r="A133">
        <v>69</v>
      </c>
      <c r="B133" t="s">
        <v>317</v>
      </c>
      <c r="C133" t="s">
        <v>318</v>
      </c>
      <c r="D133" t="s">
        <v>316</v>
      </c>
      <c r="E133" t="s">
        <v>24</v>
      </c>
      <c r="F133" t="s">
        <v>50</v>
      </c>
      <c r="G133" t="s">
        <v>35</v>
      </c>
      <c r="H133" t="s">
        <v>51</v>
      </c>
      <c r="I133" s="1">
        <v>43542</v>
      </c>
      <c r="J133">
        <v>150000</v>
      </c>
      <c r="K133">
        <v>3000</v>
      </c>
      <c r="L133">
        <v>750</v>
      </c>
      <c r="M133">
        <v>150</v>
      </c>
      <c r="N133">
        <v>3900</v>
      </c>
      <c r="O133">
        <v>1800000</v>
      </c>
      <c r="P133">
        <v>15000</v>
      </c>
      <c r="Q133">
        <v>1440000</v>
      </c>
      <c r="R133">
        <v>9900</v>
      </c>
      <c r="S133">
        <v>1464900</v>
      </c>
      <c r="T133">
        <v>24900</v>
      </c>
      <c r="U133">
        <v>1775100</v>
      </c>
    </row>
    <row r="134" spans="1:21" x14ac:dyDescent="0.35">
      <c r="A134">
        <v>59</v>
      </c>
      <c r="B134" t="s">
        <v>330</v>
      </c>
      <c r="C134" t="s">
        <v>331</v>
      </c>
      <c r="D134" t="s">
        <v>327</v>
      </c>
      <c r="E134" t="s">
        <v>39</v>
      </c>
      <c r="F134" t="s">
        <v>34</v>
      </c>
      <c r="G134" t="s">
        <v>26</v>
      </c>
      <c r="H134" t="s">
        <v>36</v>
      </c>
      <c r="I134" s="1">
        <v>43542</v>
      </c>
      <c r="J134">
        <v>100000</v>
      </c>
      <c r="K134">
        <v>2000</v>
      </c>
      <c r="L134">
        <v>500</v>
      </c>
      <c r="M134">
        <v>100</v>
      </c>
      <c r="N134">
        <v>2600</v>
      </c>
      <c r="O134">
        <v>1200000</v>
      </c>
      <c r="P134">
        <v>10000</v>
      </c>
      <c r="Q134">
        <v>960000</v>
      </c>
      <c r="R134">
        <v>6600</v>
      </c>
      <c r="S134">
        <v>976600</v>
      </c>
      <c r="T134">
        <v>16600</v>
      </c>
      <c r="U134">
        <v>1183400</v>
      </c>
    </row>
    <row r="135" spans="1:21" x14ac:dyDescent="0.35">
      <c r="A135">
        <v>24</v>
      </c>
      <c r="B135" t="s">
        <v>325</v>
      </c>
      <c r="C135" t="s">
        <v>326</v>
      </c>
      <c r="D135" t="s">
        <v>327</v>
      </c>
      <c r="E135" t="s">
        <v>24</v>
      </c>
      <c r="F135" t="s">
        <v>25</v>
      </c>
      <c r="G135" t="s">
        <v>35</v>
      </c>
      <c r="H135" t="s">
        <v>31</v>
      </c>
      <c r="I135" s="1">
        <v>44456</v>
      </c>
      <c r="J135">
        <v>120000</v>
      </c>
      <c r="K135">
        <v>2400</v>
      </c>
      <c r="L135">
        <v>600</v>
      </c>
      <c r="M135">
        <v>120</v>
      </c>
      <c r="N135">
        <v>3120</v>
      </c>
      <c r="O135">
        <v>1440000</v>
      </c>
      <c r="P135">
        <v>12000</v>
      </c>
      <c r="Q135">
        <v>1152000</v>
      </c>
      <c r="R135">
        <v>7920</v>
      </c>
      <c r="S135">
        <v>1171920</v>
      </c>
      <c r="T135">
        <v>19920</v>
      </c>
      <c r="U135">
        <v>1420080</v>
      </c>
    </row>
    <row r="136" spans="1:21" x14ac:dyDescent="0.35">
      <c r="A136">
        <v>48</v>
      </c>
      <c r="B136" t="s">
        <v>328</v>
      </c>
      <c r="C136" t="s">
        <v>329</v>
      </c>
      <c r="D136" t="s">
        <v>327</v>
      </c>
      <c r="E136" t="s">
        <v>24</v>
      </c>
      <c r="F136" t="s">
        <v>25</v>
      </c>
      <c r="G136" t="s">
        <v>35</v>
      </c>
      <c r="H136" t="s">
        <v>36</v>
      </c>
      <c r="I136" s="1">
        <v>43956</v>
      </c>
      <c r="J136">
        <v>100000</v>
      </c>
      <c r="K136">
        <v>2000</v>
      </c>
      <c r="L136">
        <v>500</v>
      </c>
      <c r="M136">
        <v>100</v>
      </c>
      <c r="N136">
        <v>2600</v>
      </c>
      <c r="O136">
        <v>1200000</v>
      </c>
      <c r="P136">
        <v>10000</v>
      </c>
      <c r="Q136">
        <v>960000</v>
      </c>
      <c r="R136">
        <v>6600</v>
      </c>
      <c r="S136">
        <v>976600</v>
      </c>
      <c r="T136">
        <v>16600</v>
      </c>
      <c r="U136">
        <v>1183400</v>
      </c>
    </row>
    <row r="137" spans="1:21" x14ac:dyDescent="0.35">
      <c r="A137">
        <v>88</v>
      </c>
      <c r="B137" t="s">
        <v>332</v>
      </c>
      <c r="C137" t="s">
        <v>333</v>
      </c>
      <c r="D137" t="s">
        <v>327</v>
      </c>
      <c r="E137" t="s">
        <v>39</v>
      </c>
      <c r="F137" t="s">
        <v>25</v>
      </c>
      <c r="G137" t="s">
        <v>35</v>
      </c>
      <c r="H137" t="s">
        <v>27</v>
      </c>
      <c r="I137" s="1">
        <v>43542</v>
      </c>
      <c r="J137">
        <v>200000</v>
      </c>
      <c r="K137">
        <v>4000</v>
      </c>
      <c r="L137">
        <v>1000</v>
      </c>
      <c r="M137">
        <v>200</v>
      </c>
      <c r="N137">
        <v>5200</v>
      </c>
      <c r="O137">
        <v>2400000</v>
      </c>
      <c r="P137">
        <v>20000</v>
      </c>
      <c r="Q137">
        <v>1920000</v>
      </c>
      <c r="R137">
        <v>13200</v>
      </c>
      <c r="S137">
        <v>1953200</v>
      </c>
      <c r="T137">
        <v>33200</v>
      </c>
      <c r="U137">
        <v>2366800</v>
      </c>
    </row>
    <row r="138" spans="1:21" x14ac:dyDescent="0.35">
      <c r="A138">
        <v>106</v>
      </c>
      <c r="B138" t="s">
        <v>334</v>
      </c>
      <c r="C138" t="s">
        <v>335</v>
      </c>
      <c r="D138" t="s">
        <v>327</v>
      </c>
      <c r="E138" t="s">
        <v>24</v>
      </c>
      <c r="F138" t="s">
        <v>50</v>
      </c>
      <c r="G138" t="s">
        <v>26</v>
      </c>
      <c r="H138" t="s">
        <v>51</v>
      </c>
      <c r="I138" s="1">
        <v>44448</v>
      </c>
      <c r="J138">
        <v>150000</v>
      </c>
      <c r="K138">
        <v>3000</v>
      </c>
      <c r="L138">
        <v>750</v>
      </c>
      <c r="M138">
        <v>150</v>
      </c>
      <c r="N138">
        <v>3900</v>
      </c>
      <c r="O138">
        <v>1800000</v>
      </c>
      <c r="P138">
        <v>15000</v>
      </c>
      <c r="Q138">
        <v>1440000</v>
      </c>
      <c r="R138">
        <v>9900</v>
      </c>
      <c r="S138">
        <v>1464900</v>
      </c>
      <c r="T138">
        <v>24900</v>
      </c>
      <c r="U138">
        <v>1775100</v>
      </c>
    </row>
    <row r="139" spans="1:21" x14ac:dyDescent="0.35">
      <c r="A139">
        <v>138</v>
      </c>
      <c r="B139" t="s">
        <v>336</v>
      </c>
      <c r="C139" t="s">
        <v>337</v>
      </c>
      <c r="D139" t="s">
        <v>327</v>
      </c>
      <c r="E139" t="s">
        <v>39</v>
      </c>
      <c r="F139" t="s">
        <v>30</v>
      </c>
      <c r="G139" t="s">
        <v>26</v>
      </c>
      <c r="H139" t="s">
        <v>31</v>
      </c>
      <c r="I139" s="1">
        <v>44455</v>
      </c>
      <c r="J139">
        <v>120000</v>
      </c>
      <c r="K139">
        <v>2400</v>
      </c>
      <c r="L139">
        <v>600</v>
      </c>
      <c r="M139">
        <v>120</v>
      </c>
      <c r="N139">
        <v>3120</v>
      </c>
      <c r="O139">
        <v>1440000</v>
      </c>
      <c r="P139">
        <v>12000</v>
      </c>
      <c r="Q139">
        <v>1152000</v>
      </c>
      <c r="R139">
        <v>7920</v>
      </c>
      <c r="S139">
        <v>1171920</v>
      </c>
      <c r="T139">
        <v>19920</v>
      </c>
      <c r="U139">
        <v>1420080</v>
      </c>
    </row>
    <row r="140" spans="1:21" x14ac:dyDescent="0.35">
      <c r="A140">
        <v>43</v>
      </c>
      <c r="B140" t="s">
        <v>341</v>
      </c>
      <c r="C140" t="s">
        <v>342</v>
      </c>
      <c r="D140" t="s">
        <v>340</v>
      </c>
      <c r="E140" t="s">
        <v>24</v>
      </c>
      <c r="F140" t="s">
        <v>74</v>
      </c>
      <c r="G140" t="s">
        <v>26</v>
      </c>
      <c r="H140" t="s">
        <v>31</v>
      </c>
      <c r="I140" s="1">
        <v>43956</v>
      </c>
      <c r="J140">
        <v>120000</v>
      </c>
      <c r="K140">
        <v>2400</v>
      </c>
      <c r="L140">
        <v>600</v>
      </c>
      <c r="M140">
        <v>120</v>
      </c>
      <c r="N140">
        <v>3120</v>
      </c>
      <c r="O140">
        <v>1440000</v>
      </c>
      <c r="P140">
        <v>12000</v>
      </c>
      <c r="Q140">
        <v>1152000</v>
      </c>
      <c r="R140">
        <v>7920</v>
      </c>
      <c r="S140">
        <v>1171920</v>
      </c>
      <c r="T140">
        <v>19920</v>
      </c>
      <c r="U140">
        <v>1420080</v>
      </c>
    </row>
    <row r="141" spans="1:21" x14ac:dyDescent="0.35">
      <c r="A141">
        <v>30</v>
      </c>
      <c r="B141" t="s">
        <v>338</v>
      </c>
      <c r="C141" t="s">
        <v>339</v>
      </c>
      <c r="D141" t="s">
        <v>340</v>
      </c>
      <c r="E141" t="s">
        <v>24</v>
      </c>
      <c r="F141" t="s">
        <v>25</v>
      </c>
      <c r="G141" t="s">
        <v>35</v>
      </c>
      <c r="H141" t="s">
        <v>31</v>
      </c>
      <c r="I141" s="1">
        <v>43437</v>
      </c>
      <c r="J141">
        <v>120000</v>
      </c>
      <c r="K141">
        <v>2400</v>
      </c>
      <c r="L141">
        <v>600</v>
      </c>
      <c r="M141">
        <v>120</v>
      </c>
      <c r="N141">
        <v>3120</v>
      </c>
      <c r="O141">
        <v>1440000</v>
      </c>
      <c r="P141">
        <v>12000</v>
      </c>
      <c r="Q141">
        <v>1152000</v>
      </c>
      <c r="R141">
        <v>7920</v>
      </c>
      <c r="S141">
        <v>1171920</v>
      </c>
      <c r="T141">
        <v>19920</v>
      </c>
      <c r="U141">
        <v>1420080</v>
      </c>
    </row>
    <row r="142" spans="1:21" x14ac:dyDescent="0.35">
      <c r="A142">
        <v>81</v>
      </c>
      <c r="B142" t="s">
        <v>350</v>
      </c>
      <c r="C142" t="s">
        <v>351</v>
      </c>
      <c r="D142" t="s">
        <v>345</v>
      </c>
      <c r="E142" t="s">
        <v>24</v>
      </c>
      <c r="F142" t="s">
        <v>25</v>
      </c>
      <c r="G142" t="s">
        <v>26</v>
      </c>
      <c r="H142" t="s">
        <v>120</v>
      </c>
      <c r="I142" s="1">
        <v>43542</v>
      </c>
      <c r="J142">
        <v>125000</v>
      </c>
      <c r="K142">
        <v>2500</v>
      </c>
      <c r="L142">
        <v>625</v>
      </c>
      <c r="M142">
        <v>125</v>
      </c>
      <c r="N142">
        <v>3250</v>
      </c>
      <c r="O142">
        <v>1500000</v>
      </c>
      <c r="P142">
        <v>12500</v>
      </c>
      <c r="Q142">
        <v>1200000</v>
      </c>
      <c r="R142">
        <v>8250</v>
      </c>
      <c r="S142">
        <v>1220750</v>
      </c>
      <c r="T142">
        <v>20750</v>
      </c>
      <c r="U142">
        <v>1479250</v>
      </c>
    </row>
    <row r="143" spans="1:21" x14ac:dyDescent="0.35">
      <c r="A143">
        <v>12</v>
      </c>
      <c r="B143" t="s">
        <v>343</v>
      </c>
      <c r="C143" t="s">
        <v>344</v>
      </c>
      <c r="D143" t="s">
        <v>345</v>
      </c>
      <c r="E143" t="s">
        <v>24</v>
      </c>
      <c r="F143" t="s">
        <v>50</v>
      </c>
      <c r="G143" t="s">
        <v>35</v>
      </c>
      <c r="H143" t="s">
        <v>31</v>
      </c>
      <c r="I143" s="1">
        <v>44444</v>
      </c>
      <c r="J143">
        <v>120000</v>
      </c>
      <c r="K143">
        <v>2400</v>
      </c>
      <c r="L143">
        <v>600</v>
      </c>
      <c r="M143">
        <v>120</v>
      </c>
      <c r="N143">
        <v>3120</v>
      </c>
      <c r="O143">
        <v>1440000</v>
      </c>
      <c r="P143">
        <v>12000</v>
      </c>
      <c r="Q143">
        <v>1152000</v>
      </c>
      <c r="R143">
        <v>7920</v>
      </c>
      <c r="S143">
        <v>1171920</v>
      </c>
      <c r="T143">
        <v>19920</v>
      </c>
      <c r="U143">
        <v>1420080</v>
      </c>
    </row>
    <row r="144" spans="1:21" x14ac:dyDescent="0.35">
      <c r="A144">
        <v>49</v>
      </c>
      <c r="B144" t="s">
        <v>348</v>
      </c>
      <c r="C144" t="s">
        <v>349</v>
      </c>
      <c r="D144" t="s">
        <v>345</v>
      </c>
      <c r="E144" t="s">
        <v>24</v>
      </c>
      <c r="F144" t="s">
        <v>50</v>
      </c>
      <c r="G144" t="s">
        <v>35</v>
      </c>
      <c r="H144" t="s">
        <v>36</v>
      </c>
      <c r="I144" s="1">
        <v>43956</v>
      </c>
      <c r="J144">
        <v>100000</v>
      </c>
      <c r="K144">
        <v>2000</v>
      </c>
      <c r="L144">
        <v>500</v>
      </c>
      <c r="M144">
        <v>100</v>
      </c>
      <c r="N144">
        <v>2600</v>
      </c>
      <c r="O144">
        <v>1200000</v>
      </c>
      <c r="P144">
        <v>10000</v>
      </c>
      <c r="Q144">
        <v>960000</v>
      </c>
      <c r="R144">
        <v>6600</v>
      </c>
      <c r="S144">
        <v>976600</v>
      </c>
      <c r="T144">
        <v>16600</v>
      </c>
      <c r="U144">
        <v>1183400</v>
      </c>
    </row>
    <row r="145" spans="1:21" x14ac:dyDescent="0.35">
      <c r="A145">
        <v>37</v>
      </c>
      <c r="B145" t="s">
        <v>346</v>
      </c>
      <c r="C145" t="s">
        <v>347</v>
      </c>
      <c r="D145" t="s">
        <v>345</v>
      </c>
      <c r="E145" t="s">
        <v>39</v>
      </c>
      <c r="F145" t="s">
        <v>30</v>
      </c>
      <c r="G145" t="s">
        <v>26</v>
      </c>
      <c r="H145" t="s">
        <v>36</v>
      </c>
      <c r="I145" s="1">
        <v>43437</v>
      </c>
      <c r="J145">
        <v>100000</v>
      </c>
      <c r="K145">
        <v>2000</v>
      </c>
      <c r="L145">
        <v>500</v>
      </c>
      <c r="M145">
        <v>100</v>
      </c>
      <c r="N145">
        <v>2600</v>
      </c>
      <c r="O145">
        <v>1200000</v>
      </c>
      <c r="P145">
        <v>10000</v>
      </c>
      <c r="Q145">
        <v>960000</v>
      </c>
      <c r="R145">
        <v>6600</v>
      </c>
      <c r="S145">
        <v>976600</v>
      </c>
      <c r="T145">
        <v>16600</v>
      </c>
      <c r="U145">
        <v>1183400</v>
      </c>
    </row>
    <row r="146" spans="1:21" x14ac:dyDescent="0.35">
      <c r="A146">
        <v>94</v>
      </c>
      <c r="B146" t="s">
        <v>359</v>
      </c>
      <c r="C146" t="s">
        <v>360</v>
      </c>
      <c r="D146" t="s">
        <v>354</v>
      </c>
      <c r="E146" t="s">
        <v>39</v>
      </c>
      <c r="F146" t="s">
        <v>81</v>
      </c>
      <c r="G146" t="s">
        <v>26</v>
      </c>
      <c r="H146" t="s">
        <v>36</v>
      </c>
      <c r="I146" s="1">
        <v>44448</v>
      </c>
      <c r="J146">
        <v>100000</v>
      </c>
      <c r="K146">
        <v>2000</v>
      </c>
      <c r="L146">
        <v>500</v>
      </c>
      <c r="M146">
        <v>100</v>
      </c>
      <c r="N146">
        <v>2600</v>
      </c>
      <c r="O146">
        <v>1200000</v>
      </c>
      <c r="P146">
        <v>10000</v>
      </c>
      <c r="Q146">
        <v>960000</v>
      </c>
      <c r="R146">
        <v>6600</v>
      </c>
      <c r="S146">
        <v>976600</v>
      </c>
      <c r="T146">
        <v>16600</v>
      </c>
      <c r="U146">
        <v>1183400</v>
      </c>
    </row>
    <row r="147" spans="1:21" x14ac:dyDescent="0.35">
      <c r="A147">
        <v>42</v>
      </c>
      <c r="B147" t="s">
        <v>357</v>
      </c>
      <c r="C147" t="s">
        <v>358</v>
      </c>
      <c r="D147" t="s">
        <v>354</v>
      </c>
      <c r="E147" t="s">
        <v>24</v>
      </c>
      <c r="F147" t="s">
        <v>159</v>
      </c>
      <c r="G147" t="s">
        <v>35</v>
      </c>
      <c r="H147" t="s">
        <v>27</v>
      </c>
      <c r="I147" s="1">
        <v>43956</v>
      </c>
      <c r="J147">
        <v>200000</v>
      </c>
      <c r="K147">
        <v>4000</v>
      </c>
      <c r="L147">
        <v>1000</v>
      </c>
      <c r="M147">
        <v>200</v>
      </c>
      <c r="N147">
        <v>5200</v>
      </c>
      <c r="O147">
        <v>2400000</v>
      </c>
      <c r="P147">
        <v>20000</v>
      </c>
      <c r="Q147">
        <v>1920000</v>
      </c>
      <c r="R147">
        <v>13200</v>
      </c>
      <c r="S147">
        <v>1953200</v>
      </c>
      <c r="T147">
        <v>33200</v>
      </c>
      <c r="U147">
        <v>2366800</v>
      </c>
    </row>
    <row r="148" spans="1:21" x14ac:dyDescent="0.35">
      <c r="A148">
        <v>133</v>
      </c>
      <c r="B148" t="s">
        <v>361</v>
      </c>
      <c r="C148" t="s">
        <v>362</v>
      </c>
      <c r="D148" t="s">
        <v>354</v>
      </c>
      <c r="E148" t="s">
        <v>24</v>
      </c>
      <c r="F148" t="s">
        <v>74</v>
      </c>
      <c r="G148" t="s">
        <v>35</v>
      </c>
      <c r="H148" t="s">
        <v>36</v>
      </c>
      <c r="I148" s="1">
        <v>44453</v>
      </c>
      <c r="J148">
        <v>100000</v>
      </c>
      <c r="K148">
        <v>2000</v>
      </c>
      <c r="L148">
        <v>500</v>
      </c>
      <c r="M148">
        <v>100</v>
      </c>
      <c r="N148">
        <v>2600</v>
      </c>
      <c r="O148">
        <v>1200000</v>
      </c>
      <c r="P148">
        <v>10000</v>
      </c>
      <c r="Q148">
        <v>960000</v>
      </c>
      <c r="R148">
        <v>6600</v>
      </c>
      <c r="S148">
        <v>976600</v>
      </c>
      <c r="T148">
        <v>16600</v>
      </c>
      <c r="U148">
        <v>1183400</v>
      </c>
    </row>
    <row r="149" spans="1:21" x14ac:dyDescent="0.35">
      <c r="A149">
        <v>29</v>
      </c>
      <c r="B149" t="s">
        <v>355</v>
      </c>
      <c r="C149" t="s">
        <v>356</v>
      </c>
      <c r="D149" t="s">
        <v>354</v>
      </c>
      <c r="E149" t="s">
        <v>39</v>
      </c>
      <c r="F149" t="s">
        <v>25</v>
      </c>
      <c r="G149" t="s">
        <v>35</v>
      </c>
      <c r="H149" t="s">
        <v>31</v>
      </c>
      <c r="I149" s="1">
        <v>43437</v>
      </c>
      <c r="J149">
        <v>120000</v>
      </c>
      <c r="K149">
        <v>2400</v>
      </c>
      <c r="L149">
        <v>600</v>
      </c>
      <c r="M149">
        <v>120</v>
      </c>
      <c r="N149">
        <v>3120</v>
      </c>
      <c r="O149">
        <v>1440000</v>
      </c>
      <c r="P149">
        <v>12000</v>
      </c>
      <c r="Q149">
        <v>1152000</v>
      </c>
      <c r="R149">
        <v>7920</v>
      </c>
      <c r="S149">
        <v>1171920</v>
      </c>
      <c r="T149">
        <v>19920</v>
      </c>
      <c r="U149">
        <v>1420080</v>
      </c>
    </row>
    <row r="150" spans="1:21" x14ac:dyDescent="0.35">
      <c r="A150">
        <v>13</v>
      </c>
      <c r="B150" t="s">
        <v>352</v>
      </c>
      <c r="C150" t="s">
        <v>353</v>
      </c>
      <c r="D150" t="s">
        <v>354</v>
      </c>
      <c r="E150" t="s">
        <v>24</v>
      </c>
      <c r="F150" t="s">
        <v>50</v>
      </c>
      <c r="G150" t="s">
        <v>35</v>
      </c>
      <c r="H150" t="s">
        <v>31</v>
      </c>
      <c r="I150" s="1">
        <v>44445</v>
      </c>
      <c r="J150">
        <v>120000</v>
      </c>
      <c r="K150">
        <v>2400</v>
      </c>
      <c r="L150">
        <v>600</v>
      </c>
      <c r="M150">
        <v>120</v>
      </c>
      <c r="N150">
        <v>3120</v>
      </c>
      <c r="O150">
        <v>1440000</v>
      </c>
      <c r="P150">
        <v>12000</v>
      </c>
      <c r="Q150">
        <v>1152000</v>
      </c>
      <c r="R150">
        <v>7920</v>
      </c>
      <c r="S150">
        <v>1171920</v>
      </c>
      <c r="T150">
        <v>19920</v>
      </c>
      <c r="U150">
        <v>1420080</v>
      </c>
    </row>
    <row r="151" spans="1:21" x14ac:dyDescent="0.35">
      <c r="A151">
        <v>56</v>
      </c>
      <c r="B151" t="s">
        <v>366</v>
      </c>
      <c r="C151" t="s">
        <v>367</v>
      </c>
      <c r="D151" t="s">
        <v>365</v>
      </c>
      <c r="E151" t="s">
        <v>24</v>
      </c>
      <c r="F151" t="s">
        <v>34</v>
      </c>
      <c r="G151" t="s">
        <v>35</v>
      </c>
      <c r="H151" t="s">
        <v>36</v>
      </c>
      <c r="I151" s="1">
        <v>43542</v>
      </c>
      <c r="J151">
        <v>100000</v>
      </c>
      <c r="K151">
        <v>2000</v>
      </c>
      <c r="L151">
        <v>500</v>
      </c>
      <c r="M151">
        <v>100</v>
      </c>
      <c r="N151">
        <v>2600</v>
      </c>
      <c r="O151">
        <v>1200000</v>
      </c>
      <c r="P151">
        <v>10000</v>
      </c>
      <c r="Q151">
        <v>960000</v>
      </c>
      <c r="R151">
        <v>6600</v>
      </c>
      <c r="S151">
        <v>976600</v>
      </c>
      <c r="T151">
        <v>16600</v>
      </c>
      <c r="U151">
        <v>1183400</v>
      </c>
    </row>
    <row r="152" spans="1:21" x14ac:dyDescent="0.35">
      <c r="A152">
        <v>31</v>
      </c>
      <c r="B152" t="s">
        <v>363</v>
      </c>
      <c r="C152" t="s">
        <v>364</v>
      </c>
      <c r="D152" t="s">
        <v>365</v>
      </c>
      <c r="E152" t="s">
        <v>24</v>
      </c>
      <c r="F152" t="s">
        <v>25</v>
      </c>
      <c r="G152" t="s">
        <v>35</v>
      </c>
      <c r="H152" t="s">
        <v>31</v>
      </c>
      <c r="I152" s="1">
        <v>43437</v>
      </c>
      <c r="J152">
        <v>120000</v>
      </c>
      <c r="K152">
        <v>2400</v>
      </c>
      <c r="L152">
        <v>600</v>
      </c>
      <c r="M152">
        <v>120</v>
      </c>
      <c r="N152">
        <v>3120</v>
      </c>
      <c r="O152">
        <v>1440000</v>
      </c>
      <c r="P152">
        <v>12000</v>
      </c>
      <c r="Q152">
        <v>1152000</v>
      </c>
      <c r="R152">
        <v>7920</v>
      </c>
      <c r="S152">
        <v>1171920</v>
      </c>
      <c r="T152">
        <v>19920</v>
      </c>
      <c r="U152">
        <v>1420080</v>
      </c>
    </row>
  </sheetData>
  <sortState xmlns:xlrd2="http://schemas.microsoft.com/office/spreadsheetml/2017/richdata2" ref="A2:U171">
    <sortCondition ref="D2:D17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7D862-4F3D-4DE6-BC61-0B0C29A6BE62}">
  <sheetPr>
    <tabColor rgb="FFC00000"/>
    <pageSetUpPr fitToPage="1"/>
  </sheetPr>
  <dimension ref="A1:H51"/>
  <sheetViews>
    <sheetView tabSelected="1" topLeftCell="B44" zoomScale="110" zoomScaleNormal="110" workbookViewId="0">
      <selection activeCell="D38" sqref="D38"/>
    </sheetView>
  </sheetViews>
  <sheetFormatPr defaultRowHeight="14.5" x14ac:dyDescent="0.35"/>
  <cols>
    <col min="1" max="1" width="3.453125" customWidth="1"/>
    <col min="2" max="2" width="5.36328125" customWidth="1"/>
    <col min="3" max="3" width="71.7265625" customWidth="1"/>
    <col min="4" max="4" width="18.6328125" customWidth="1"/>
    <col min="5" max="5" width="20.08984375" customWidth="1"/>
    <col min="7" max="7" width="7.54296875" customWidth="1"/>
  </cols>
  <sheetData>
    <row r="1" spans="1:8" x14ac:dyDescent="0.35">
      <c r="F1" s="13"/>
      <c r="G1" s="12"/>
    </row>
    <row r="2" spans="1:8" x14ac:dyDescent="0.35">
      <c r="F2" s="13"/>
      <c r="G2" s="12"/>
    </row>
    <row r="3" spans="1:8" x14ac:dyDescent="0.35">
      <c r="F3" s="13"/>
      <c r="G3" s="12"/>
    </row>
    <row r="4" spans="1:8" x14ac:dyDescent="0.35">
      <c r="F4" s="13"/>
      <c r="G4" s="12"/>
    </row>
    <row r="5" spans="1:8" ht="21" x14ac:dyDescent="0.5">
      <c r="A5" s="5"/>
      <c r="B5" s="6" t="s">
        <v>0</v>
      </c>
      <c r="C5" s="7" t="s">
        <v>368</v>
      </c>
      <c r="D5" s="3"/>
      <c r="E5" s="5"/>
      <c r="F5" s="13"/>
      <c r="G5" s="13"/>
      <c r="H5" s="8"/>
    </row>
    <row r="6" spans="1:8" ht="18.5" x14ac:dyDescent="0.45">
      <c r="A6" s="5"/>
      <c r="B6" s="2">
        <v>1</v>
      </c>
      <c r="C6" s="4" t="s">
        <v>369</v>
      </c>
      <c r="D6">
        <f>COUNTA(Salary_niit!B2:B152)</f>
        <v>151</v>
      </c>
    </row>
    <row r="7" spans="1:8" x14ac:dyDescent="0.35">
      <c r="A7" s="5"/>
      <c r="B7" s="2"/>
    </row>
    <row r="8" spans="1:8" ht="18.5" x14ac:dyDescent="0.45">
      <c r="A8" s="5"/>
      <c r="B8" s="2">
        <v>2</v>
      </c>
      <c r="C8" s="4" t="s">
        <v>370</v>
      </c>
      <c r="D8">
        <f>SUM(Salary_niit!J2:J152)</f>
        <v>19550000</v>
      </c>
    </row>
    <row r="9" spans="1:8" x14ac:dyDescent="0.35">
      <c r="A9" s="5"/>
      <c r="B9" s="2"/>
    </row>
    <row r="10" spans="1:8" ht="18.5" x14ac:dyDescent="0.45">
      <c r="A10" s="5"/>
      <c r="B10" s="2">
        <v>3</v>
      </c>
      <c r="C10" s="4" t="s">
        <v>371</v>
      </c>
      <c r="D10">
        <f>SUM(Salary_niit!R2:R152)</f>
        <v>1290300</v>
      </c>
    </row>
    <row r="11" spans="1:8" x14ac:dyDescent="0.35">
      <c r="A11" s="5"/>
      <c r="B11" s="2"/>
    </row>
    <row r="12" spans="1:8" ht="18.5" x14ac:dyDescent="0.45">
      <c r="A12" s="5"/>
      <c r="B12" s="2">
        <v>4</v>
      </c>
      <c r="C12" s="4" t="s">
        <v>372</v>
      </c>
      <c r="D12">
        <f>AVERAGEA(Salary_niit!P2:P152)</f>
        <v>12947.019867549669</v>
      </c>
    </row>
    <row r="13" spans="1:8" x14ac:dyDescent="0.35">
      <c r="A13" s="5"/>
      <c r="B13" s="2"/>
    </row>
    <row r="14" spans="1:8" ht="18.5" x14ac:dyDescent="0.45">
      <c r="A14" s="5"/>
      <c r="B14" s="2">
        <v>5</v>
      </c>
      <c r="C14" s="4" t="s">
        <v>373</v>
      </c>
      <c r="D14">
        <f>SUMIF(Salary_niit!E2:E152,Salary_niit!E138,Salary_niit!J2:J152)</f>
        <v>12005000</v>
      </c>
    </row>
    <row r="15" spans="1:8" x14ac:dyDescent="0.35">
      <c r="A15" s="5">
        <f ca="1">A15:A26</f>
        <v>0</v>
      </c>
      <c r="B15" s="2"/>
    </row>
    <row r="16" spans="1:8" ht="18.5" x14ac:dyDescent="0.45">
      <c r="A16" s="13"/>
      <c r="B16" s="2">
        <v>6</v>
      </c>
      <c r="C16" s="4" t="s">
        <v>374</v>
      </c>
      <c r="D16">
        <f>SUMIF(Salary_niit!F2:F152,Salary_niit!F104,Salary_niit!P2:P152)</f>
        <v>210000</v>
      </c>
    </row>
    <row r="17" spans="1:5" x14ac:dyDescent="0.35">
      <c r="A17" s="13"/>
      <c r="B17" s="2"/>
    </row>
    <row r="18" spans="1:5" ht="18.5" x14ac:dyDescent="0.45">
      <c r="A18" s="13"/>
      <c r="B18" s="2">
        <v>7</v>
      </c>
      <c r="C18" s="4" t="s">
        <v>375</v>
      </c>
      <c r="D18">
        <f>COUNTIF(Salary_niit!U2:U152,"&gt;1200000")</f>
        <v>110</v>
      </c>
    </row>
    <row r="19" spans="1:5" x14ac:dyDescent="0.35">
      <c r="A19" s="13"/>
    </row>
    <row r="20" spans="1:5" ht="18.5" x14ac:dyDescent="0.45">
      <c r="A20" s="13"/>
      <c r="B20">
        <v>8</v>
      </c>
      <c r="C20" s="4" t="s">
        <v>377</v>
      </c>
      <c r="D20">
        <f>COUNTIF(Salary_niit!F2:F152,"MARKETING")</f>
        <v>36</v>
      </c>
    </row>
    <row r="21" spans="1:5" x14ac:dyDescent="0.35">
      <c r="A21" s="13"/>
    </row>
    <row r="22" spans="1:5" ht="37" x14ac:dyDescent="0.45">
      <c r="A22" s="13"/>
      <c r="B22">
        <v>9</v>
      </c>
      <c r="C22" s="9" t="s">
        <v>376</v>
      </c>
      <c r="D22">
        <f>SUMIFS(Salary_niit!J2:J152,Salary_niit!D2:D152,Salary_niit!D47,Salary_niit!H2:H152,Salary_niit!H113)</f>
        <v>600000</v>
      </c>
    </row>
    <row r="23" spans="1:5" ht="18.5" x14ac:dyDescent="0.45">
      <c r="A23" s="13"/>
      <c r="C23" s="9"/>
    </row>
    <row r="24" spans="1:5" ht="18.5" x14ac:dyDescent="0.45">
      <c r="A24" s="13"/>
      <c r="B24">
        <v>10</v>
      </c>
      <c r="C24" s="4" t="s">
        <v>381</v>
      </c>
      <c r="D24">
        <f>MAXA(Salary_niit!J2:J152)</f>
        <v>200000</v>
      </c>
      <c r="E24">
        <f>MINA(Salary_niit!J2:J152)</f>
        <v>100000</v>
      </c>
    </row>
    <row r="25" spans="1:5" ht="18.5" x14ac:dyDescent="0.45">
      <c r="A25" s="13"/>
      <c r="C25" s="9"/>
    </row>
    <row r="26" spans="1:5" ht="37" x14ac:dyDescent="0.45">
      <c r="A26" s="13"/>
      <c r="B26">
        <v>11</v>
      </c>
      <c r="C26" s="9" t="s">
        <v>380</v>
      </c>
      <c r="D26" t="s">
        <v>7</v>
      </c>
      <c r="E26" t="s">
        <v>382</v>
      </c>
    </row>
    <row r="27" spans="1:5" x14ac:dyDescent="0.35">
      <c r="A27" s="13"/>
      <c r="C27" s="11"/>
      <c r="D27" t="s">
        <v>36</v>
      </c>
      <c r="E27">
        <f>SUMIF(Salary_niit!H2:H152,Salary_niit!H2,Salary_niit!U2:U152)</f>
        <v>48519400</v>
      </c>
    </row>
    <row r="28" spans="1:5" x14ac:dyDescent="0.35">
      <c r="A28" s="13"/>
      <c r="C28" s="11"/>
      <c r="D28" t="s">
        <v>27</v>
      </c>
      <c r="E28">
        <f ca="1">SUMIF(Salary_niit!H1:H152,Salary_niit!H137,Salary_niit!U2:U152)</f>
        <v>24437210</v>
      </c>
    </row>
    <row r="29" spans="1:5" x14ac:dyDescent="0.35">
      <c r="A29" s="13"/>
      <c r="C29" s="11"/>
      <c r="D29" t="s">
        <v>51</v>
      </c>
      <c r="E29">
        <f ca="1">SUMIF(Salary_niit!H2:H153,Salary_niit!H138,Salary_niit!U3:U153)</f>
        <v>50294500</v>
      </c>
    </row>
    <row r="30" spans="1:5" x14ac:dyDescent="0.35">
      <c r="A30" s="13"/>
      <c r="C30" s="11"/>
      <c r="D30" t="s">
        <v>31</v>
      </c>
      <c r="E30">
        <f ca="1">SUMIF(Salary_niit!H3:H154,Salary_niit!H139,Salary_niit!U4:U154)</f>
        <v>79051120</v>
      </c>
    </row>
    <row r="31" spans="1:5" x14ac:dyDescent="0.35">
      <c r="A31" s="13"/>
      <c r="C31" s="11"/>
      <c r="D31" t="s">
        <v>120</v>
      </c>
      <c r="E31">
        <f ca="1">SUMIF(Salary_niit!H4:H155,Salary_niit!H140,Salary_niit!U5:U155)</f>
        <v>79051120</v>
      </c>
    </row>
    <row r="32" spans="1:5" x14ac:dyDescent="0.35">
      <c r="A32" s="13"/>
      <c r="C32" s="11"/>
    </row>
    <row r="33" spans="1:5" x14ac:dyDescent="0.35">
      <c r="A33" s="13"/>
      <c r="C33" s="11"/>
    </row>
    <row r="34" spans="1:5" x14ac:dyDescent="0.35">
      <c r="A34" s="13"/>
      <c r="C34" s="11"/>
    </row>
    <row r="35" spans="1:5" x14ac:dyDescent="0.35">
      <c r="A35" s="13"/>
      <c r="C35" s="11"/>
    </row>
    <row r="36" spans="1:5" x14ac:dyDescent="0.35">
      <c r="A36" s="13"/>
      <c r="C36" s="11"/>
    </row>
    <row r="37" spans="1:5" x14ac:dyDescent="0.35">
      <c r="A37" s="13"/>
      <c r="C37" s="11"/>
    </row>
    <row r="38" spans="1:5" ht="18.5" customHeight="1" x14ac:dyDescent="0.35">
      <c r="A38" s="13"/>
      <c r="B38">
        <v>12</v>
      </c>
      <c r="C38" s="14" t="s">
        <v>378</v>
      </c>
      <c r="E38" s="10"/>
    </row>
    <row r="39" spans="1:5" x14ac:dyDescent="0.35">
      <c r="A39" s="13"/>
      <c r="C39" s="14"/>
      <c r="D39" t="s">
        <v>383</v>
      </c>
      <c r="E39" s="10" t="s">
        <v>20</v>
      </c>
    </row>
    <row r="40" spans="1:5" x14ac:dyDescent="0.35">
      <c r="A40" s="13"/>
      <c r="C40" s="2"/>
      <c r="D40" t="s">
        <v>34</v>
      </c>
      <c r="E40" s="10">
        <f>SUMIFS(Salary_niit!U2:U152,Salary_niit!F2:F152,DASHBOARD!D40,Salary_niit!E2:E152,Salary_niit!E139,Salary_niit!P2:P152,"&gt;10000")</f>
        <v>6094510</v>
      </c>
    </row>
    <row r="41" spans="1:5" x14ac:dyDescent="0.35">
      <c r="A41" s="13"/>
      <c r="D41" t="s">
        <v>25</v>
      </c>
      <c r="E41" s="10">
        <f>SUMIFS(Salary_niit!U2:U152,Salary_niit!F2:F152,Salary_niit!F136,Salary_niit!E2:E152,Salary_niit!E146,Salary_niit!P2:P152,"&gt;10000")</f>
        <v>18579380</v>
      </c>
    </row>
    <row r="42" spans="1:5" x14ac:dyDescent="0.35">
      <c r="A42" s="13"/>
      <c r="D42" t="s">
        <v>50</v>
      </c>
      <c r="E42" s="10">
        <f>SUMIFS(Salary_niit!U3:U153,Salary_niit!F3:F153,Salary_niit!F137,Salary_niit!E3:E153,Salary_niit!E147,Salary_niit!P3:P153,"&gt;10000")</f>
        <v>36744570</v>
      </c>
    </row>
    <row r="43" spans="1:5" x14ac:dyDescent="0.35">
      <c r="A43" s="13"/>
      <c r="D43" t="s">
        <v>30</v>
      </c>
      <c r="E43" s="10">
        <f>SUMIFS(Salary_niit!U4:U154,Salary_niit!F4:F154,Salary_niit!F138,Salary_niit!E4:E154,Salary_niit!E148,Salary_niit!P4:P154,"&gt;10000")</f>
        <v>30886740</v>
      </c>
    </row>
    <row r="44" spans="1:5" x14ac:dyDescent="0.35">
      <c r="A44" s="13"/>
      <c r="D44" t="s">
        <v>61</v>
      </c>
      <c r="E44" s="10">
        <f>SUMIFS(Salary_niit!U5:U155,Salary_niit!F5:F155,Salary_niit!F139,Salary_niit!E5:E155,Salary_niit!E149,Salary_niit!P5:P155,"&gt;10000")</f>
        <v>4260240</v>
      </c>
    </row>
    <row r="45" spans="1:5" x14ac:dyDescent="0.35">
      <c r="A45" s="13"/>
      <c r="D45" t="s">
        <v>81</v>
      </c>
      <c r="E45" s="10">
        <f>SUMIFS(Salary_niit!U6:U156,Salary_niit!F6:F156,Salary_niit!F140,Salary_niit!E6:E156,Salary_niit!E150,Salary_niit!P6:P156,"&gt;10000")</f>
        <v>12307360</v>
      </c>
    </row>
    <row r="46" spans="1:5" x14ac:dyDescent="0.35">
      <c r="A46" s="13"/>
      <c r="D46" t="s">
        <v>74</v>
      </c>
      <c r="E46" s="10">
        <f>SUMIFS(Salary_niit!U7:U157,Salary_niit!F7:F157,Salary_niit!F141,Salary_niit!E7:E157,Salary_niit!E151,Salary_niit!P7:P157,"&gt;10000")</f>
        <v>36744570</v>
      </c>
    </row>
    <row r="47" spans="1:5" x14ac:dyDescent="0.35">
      <c r="A47" s="13"/>
      <c r="D47" t="s">
        <v>123</v>
      </c>
      <c r="E47" s="10">
        <f>SUMIFS(Salary_niit!U8:U158,Salary_niit!F8:F158,Salary_niit!F142,Salary_niit!E8:E158,Salary_niit!E152,Salary_niit!P8:P158,"&gt;10000")</f>
        <v>36744570</v>
      </c>
    </row>
    <row r="48" spans="1:5" x14ac:dyDescent="0.35">
      <c r="A48" s="13"/>
      <c r="D48" t="s">
        <v>159</v>
      </c>
      <c r="E48" s="10">
        <f>SUMIFS(Salary_niit!U9:U159,Salary_niit!F9:F159,Salary_niit!F143,Salary_niit!E9:E159,Salary_niit!E153,Salary_niit!P9:P159,"&gt;10000")</f>
        <v>0</v>
      </c>
    </row>
    <row r="49" spans="1:3" x14ac:dyDescent="0.35">
      <c r="A49" s="13"/>
    </row>
    <row r="50" spans="1:3" x14ac:dyDescent="0.35">
      <c r="A50" s="13"/>
    </row>
    <row r="51" spans="1:3" ht="29" x14ac:dyDescent="0.35">
      <c r="A51" s="13"/>
      <c r="B51">
        <v>13</v>
      </c>
      <c r="C51" s="11" t="s">
        <v>379</v>
      </c>
    </row>
  </sheetData>
  <sortState xmlns:xlrd2="http://schemas.microsoft.com/office/spreadsheetml/2017/richdata2" ref="D26:E30">
    <sortCondition ref="E26:E30"/>
  </sortState>
  <mergeCells count="1">
    <mergeCell ref="C38:C39"/>
  </mergeCells>
  <pageMargins left="0.7" right="0.7" top="0.75" bottom="0.75" header="0.3" footer="0.3"/>
  <pageSetup scale="51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Salary_niit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Kingsley Anyira</cp:lastModifiedBy>
  <dcterms:created xsi:type="dcterms:W3CDTF">2026-08-01T11:04:29Z</dcterms:created>
  <dcterms:modified xsi:type="dcterms:W3CDTF">2026-08-21T10:45:45Z</dcterms:modified>
</cp:coreProperties>
</file>